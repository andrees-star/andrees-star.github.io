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ioware-my.sharepoint.com/personal/acerquera_hmg_eu/Documents/Escritorio/PRUEBATECNICA/PRUEBA_ANDRES/"/>
    </mc:Choice>
  </mc:AlternateContent>
  <xr:revisionPtr revIDLastSave="55" documentId="114_{C679D9C4-2803-4BAD-9940-366A06E2240A}" xr6:coauthVersionLast="47" xr6:coauthVersionMax="47" xr10:uidLastSave="{F1AE73FF-0F55-4F07-AEB7-B810C48AD013}"/>
  <bookViews>
    <workbookView xWindow="-108" yWindow="-108" windowWidth="23256" windowHeight="12456" firstSheet="2" activeTab="5" xr2:uid="{3AAE9945-7D39-433B-AC95-22459D8C38D4}"/>
  </bookViews>
  <sheets>
    <sheet name="asesores_ficticio" sheetId="9" r:id="rId1"/>
    <sheet name="clientes_ficticio" sheetId="1" r:id="rId2"/>
    <sheet name="punto 1 y 2" sheetId="10" r:id="rId3"/>
    <sheet name="punto 3-PUNTO 4" sheetId="11" r:id="rId4"/>
    <sheet name="ANALISIS DE ESCENARIOS_CALI" sheetId="12" r:id="rId5"/>
    <sheet name="Resumen del escenario 2" sheetId="13" r:id="rId6"/>
  </sheets>
  <definedNames>
    <definedName name="_xlnm._FilterDatabase" localSheetId="1" hidden="1">clientes_ficticio!$A$1:$R$321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1" l="1"/>
  <c r="E14" i="10"/>
  <c r="D18" i="12"/>
  <c r="D26" i="11"/>
  <c r="D25" i="11"/>
  <c r="D24" i="11"/>
  <c r="D23" i="11"/>
  <c r="E4" i="10"/>
  <c r="E5" i="10"/>
  <c r="E6" i="10"/>
  <c r="E7" i="10"/>
  <c r="E8" i="10"/>
  <c r="E9" i="10"/>
  <c r="E10" i="10"/>
  <c r="E11" i="10"/>
  <c r="E12" i="10"/>
  <c r="E13" i="10"/>
  <c r="S2" i="1"/>
  <c r="T2" i="1" s="1"/>
  <c r="Z2" i="1"/>
  <c r="Y2" i="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2" i="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W2" i="1" l="1" a="1"/>
  <c r="W2" i="1" s="1"/>
  <c r="V2" i="1"/>
  <c r="X4" i="1" l="1"/>
  <c r="X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<sst xmlns="http://schemas.openxmlformats.org/spreadsheetml/2006/main" count="3358" uniqueCount="448">
  <si>
    <t>cliente_id</t>
  </si>
  <si>
    <t>ciudad</t>
  </si>
  <si>
    <t>departamento</t>
  </si>
  <si>
    <t>latitud</t>
  </si>
  <si>
    <t>longitud</t>
  </si>
  <si>
    <t>fecha_desembolso</t>
  </si>
  <si>
    <t>producto_credito</t>
  </si>
  <si>
    <t>monto_desembolsado</t>
  </si>
  <si>
    <t>saldo_cartera</t>
  </si>
  <si>
    <t>dias_mora</t>
  </si>
  <si>
    <t>sector_economico</t>
  </si>
  <si>
    <t>ingresos_mensuales_estimados</t>
  </si>
  <si>
    <t>canal_adquisicion</t>
  </si>
  <si>
    <t>asesor_id_actual</t>
  </si>
  <si>
    <t>CLI_0001</t>
  </si>
  <si>
    <t>Soacha</t>
  </si>
  <si>
    <t>Cundinamarca</t>
  </si>
  <si>
    <t>Alimentos</t>
  </si>
  <si>
    <t>Visita en zona</t>
  </si>
  <si>
    <t>ASE_002</t>
  </si>
  <si>
    <t>CLI_0002</t>
  </si>
  <si>
    <t>Antioquia</t>
  </si>
  <si>
    <t>Servicios</t>
  </si>
  <si>
    <t>Feria empresarial</t>
  </si>
  <si>
    <t>ASE_006</t>
  </si>
  <si>
    <t>CLI_0003</t>
  </si>
  <si>
    <t>Rionegro</t>
  </si>
  <si>
    <t>Manufactura</t>
  </si>
  <si>
    <t>Aliado comercial</t>
  </si>
  <si>
    <t>ASE_004</t>
  </si>
  <si>
    <t>CLI_0004</t>
  </si>
  <si>
    <t>Digital</t>
  </si>
  <si>
    <t>ASE_007</t>
  </si>
  <si>
    <t>CLI_0005</t>
  </si>
  <si>
    <t>Barranquilla</t>
  </si>
  <si>
    <t>ASE_009</t>
  </si>
  <si>
    <t>CLI_0006</t>
  </si>
  <si>
    <t>Agroindustria</t>
  </si>
  <si>
    <t>ASE_008</t>
  </si>
  <si>
    <t>CLI_0007</t>
  </si>
  <si>
    <t>Bucaramanga</t>
  </si>
  <si>
    <t>Santander</t>
  </si>
  <si>
    <t>ASE_003</t>
  </si>
  <si>
    <t>CLI_0008</t>
  </si>
  <si>
    <t>CLI_0009</t>
  </si>
  <si>
    <t>CLI_0010</t>
  </si>
  <si>
    <t>Bello</t>
  </si>
  <si>
    <t>CLI_0011</t>
  </si>
  <si>
    <t>Comercio</t>
  </si>
  <si>
    <t>CLI_0012</t>
  </si>
  <si>
    <t>Referido</t>
  </si>
  <si>
    <t>CLI_0013</t>
  </si>
  <si>
    <t>CLI_0014</t>
  </si>
  <si>
    <t>CLI_0015</t>
  </si>
  <si>
    <t>CLI_0016</t>
  </si>
  <si>
    <t>CLI_0017</t>
  </si>
  <si>
    <t>CLI_0018</t>
  </si>
  <si>
    <t>ASE_010</t>
  </si>
  <si>
    <t>CLI_0019</t>
  </si>
  <si>
    <t>CLI_0020</t>
  </si>
  <si>
    <t>CLI_0021</t>
  </si>
  <si>
    <t>ASE_001</t>
  </si>
  <si>
    <t>CLI_0022</t>
  </si>
  <si>
    <t>ASE_005</t>
  </si>
  <si>
    <t>CLI_0023</t>
  </si>
  <si>
    <t>CLI_0024</t>
  </si>
  <si>
    <t>CLI_0025</t>
  </si>
  <si>
    <t>CLI_0026</t>
  </si>
  <si>
    <t>CLI_0027</t>
  </si>
  <si>
    <t>CLI_0028</t>
  </si>
  <si>
    <t>Cali</t>
  </si>
  <si>
    <t>Valle del Cauca</t>
  </si>
  <si>
    <t>CLI_0029</t>
  </si>
  <si>
    <t>CLI_0030</t>
  </si>
  <si>
    <t>CLI_0031</t>
  </si>
  <si>
    <t>CLI_0032</t>
  </si>
  <si>
    <t>Pereira</t>
  </si>
  <si>
    <t>Risaralda</t>
  </si>
  <si>
    <t>CLI_0033</t>
  </si>
  <si>
    <t>CLI_0034</t>
  </si>
  <si>
    <t>CLI_0035</t>
  </si>
  <si>
    <t>CLI_0036</t>
  </si>
  <si>
    <t>CLI_0037</t>
  </si>
  <si>
    <t>CLI_0038</t>
  </si>
  <si>
    <t>CLI_0039</t>
  </si>
  <si>
    <t>CLI_0040</t>
  </si>
  <si>
    <t>CLI_0041</t>
  </si>
  <si>
    <t>CLI_0042</t>
  </si>
  <si>
    <t>CLI_0043</t>
  </si>
  <si>
    <t>CLI_0044</t>
  </si>
  <si>
    <t>CLI_0045</t>
  </si>
  <si>
    <t>CLI_0046</t>
  </si>
  <si>
    <t>CLI_0047</t>
  </si>
  <si>
    <t>CLI_0048</t>
  </si>
  <si>
    <t>CLI_0049</t>
  </si>
  <si>
    <t>CLI_0050</t>
  </si>
  <si>
    <t>CLI_0051</t>
  </si>
  <si>
    <t>CLI_0052</t>
  </si>
  <si>
    <t>CLI_0053</t>
  </si>
  <si>
    <t>CLI_0054</t>
  </si>
  <si>
    <t>CLI_0055</t>
  </si>
  <si>
    <t>CLI_0056</t>
  </si>
  <si>
    <t>CLI_0057</t>
  </si>
  <si>
    <t>CLI_0058</t>
  </si>
  <si>
    <t>CLI_0059</t>
  </si>
  <si>
    <t>CLI_0060</t>
  </si>
  <si>
    <t>CLI_0061</t>
  </si>
  <si>
    <t>CLI_0062</t>
  </si>
  <si>
    <t>CLI_0063</t>
  </si>
  <si>
    <t>CLI_0064</t>
  </si>
  <si>
    <t>CLI_0065</t>
  </si>
  <si>
    <t>CLI_0066</t>
  </si>
  <si>
    <t>CLI_0067</t>
  </si>
  <si>
    <t>CLI_0068</t>
  </si>
  <si>
    <t>CLI_0069</t>
  </si>
  <si>
    <t>CLI_0070</t>
  </si>
  <si>
    <t>CLI_0071</t>
  </si>
  <si>
    <t>CLI_0072</t>
  </si>
  <si>
    <t>CLI_0073</t>
  </si>
  <si>
    <t>CLI_0074</t>
  </si>
  <si>
    <t>CLI_0075</t>
  </si>
  <si>
    <t>CLI_0076</t>
  </si>
  <si>
    <t>CLI_0077</t>
  </si>
  <si>
    <t>CLI_0078</t>
  </si>
  <si>
    <t>CLI_0079</t>
  </si>
  <si>
    <t>CLI_0080</t>
  </si>
  <si>
    <t>CLI_0081</t>
  </si>
  <si>
    <t>CLI_0082</t>
  </si>
  <si>
    <t>CLI_0083</t>
  </si>
  <si>
    <t>CLI_0084</t>
  </si>
  <si>
    <t>CLI_0085</t>
  </si>
  <si>
    <t>CLI_0086</t>
  </si>
  <si>
    <t>CLI_0087</t>
  </si>
  <si>
    <t>CLI_0088</t>
  </si>
  <si>
    <t>CLI_0089</t>
  </si>
  <si>
    <t>CLI_0090</t>
  </si>
  <si>
    <t>CLI_0091</t>
  </si>
  <si>
    <t>CLI_0092</t>
  </si>
  <si>
    <t>CLI_0093</t>
  </si>
  <si>
    <t>CLI_0094</t>
  </si>
  <si>
    <t>CLI_0095</t>
  </si>
  <si>
    <t>CLI_0096</t>
  </si>
  <si>
    <t>CLI_0097</t>
  </si>
  <si>
    <t>CLI_0098</t>
  </si>
  <si>
    <t>CLI_0099</t>
  </si>
  <si>
    <t>CLI_0100</t>
  </si>
  <si>
    <t>CLI_0101</t>
  </si>
  <si>
    <t>CLI_0102</t>
  </si>
  <si>
    <t>CLI_0103</t>
  </si>
  <si>
    <t>CLI_0104</t>
  </si>
  <si>
    <t>CLI_0105</t>
  </si>
  <si>
    <t>CLI_0106</t>
  </si>
  <si>
    <t>CLI_0107</t>
  </si>
  <si>
    <t>CLI_0108</t>
  </si>
  <si>
    <t>CLI_0109</t>
  </si>
  <si>
    <t>CLI_0110</t>
  </si>
  <si>
    <t>CLI_0111</t>
  </si>
  <si>
    <t>CLI_0112</t>
  </si>
  <si>
    <t>CLI_0113</t>
  </si>
  <si>
    <t>CLI_0114</t>
  </si>
  <si>
    <t>CLI_0115</t>
  </si>
  <si>
    <t>CLI_0116</t>
  </si>
  <si>
    <t>CLI_0117</t>
  </si>
  <si>
    <t>CLI_0118</t>
  </si>
  <si>
    <t>CLI_0119</t>
  </si>
  <si>
    <t>CLI_0120</t>
  </si>
  <si>
    <t>CLI_0121</t>
  </si>
  <si>
    <t>CLI_0122</t>
  </si>
  <si>
    <t>CLI_0123</t>
  </si>
  <si>
    <t>CLI_0124</t>
  </si>
  <si>
    <t>CLI_0125</t>
  </si>
  <si>
    <t>CLI_0126</t>
  </si>
  <si>
    <t>CLI_0127</t>
  </si>
  <si>
    <t>CLI_0128</t>
  </si>
  <si>
    <t>CLI_0129</t>
  </si>
  <si>
    <t>CLI_0130</t>
  </si>
  <si>
    <t>CLI_0131</t>
  </si>
  <si>
    <t>CLI_0132</t>
  </si>
  <si>
    <t>CLI_0133</t>
  </si>
  <si>
    <t>CLI_0134</t>
  </si>
  <si>
    <t>CLI_0135</t>
  </si>
  <si>
    <t>CLI_0136</t>
  </si>
  <si>
    <t>CLI_0137</t>
  </si>
  <si>
    <t>CLI_0138</t>
  </si>
  <si>
    <t>CLI_0139</t>
  </si>
  <si>
    <t>CLI_0140</t>
  </si>
  <si>
    <t>CLI_0141</t>
  </si>
  <si>
    <t>CLI_0142</t>
  </si>
  <si>
    <t>CLI_0143</t>
  </si>
  <si>
    <t>CLI_0144</t>
  </si>
  <si>
    <t>CLI_0145</t>
  </si>
  <si>
    <t>CLI_0146</t>
  </si>
  <si>
    <t>CLI_0147</t>
  </si>
  <si>
    <t>CLI_0148</t>
  </si>
  <si>
    <t>CLI_0149</t>
  </si>
  <si>
    <t>CLI_0150</t>
  </si>
  <si>
    <t>CLI_0151</t>
  </si>
  <si>
    <t>CLI_0152</t>
  </si>
  <si>
    <t>CLI_0153</t>
  </si>
  <si>
    <t>CLI_0154</t>
  </si>
  <si>
    <t>CLI_0155</t>
  </si>
  <si>
    <t>CLI_0156</t>
  </si>
  <si>
    <t>CLI_0157</t>
  </si>
  <si>
    <t>CLI_0158</t>
  </si>
  <si>
    <t>CLI_0159</t>
  </si>
  <si>
    <t>CLI_0160</t>
  </si>
  <si>
    <t>CLI_0161</t>
  </si>
  <si>
    <t>CLI_0162</t>
  </si>
  <si>
    <t>CLI_0163</t>
  </si>
  <si>
    <t>CLI_0164</t>
  </si>
  <si>
    <t>CLI_0165</t>
  </si>
  <si>
    <t>CLI_0166</t>
  </si>
  <si>
    <t>CLI_0167</t>
  </si>
  <si>
    <t>CLI_0168</t>
  </si>
  <si>
    <t>CLI_0169</t>
  </si>
  <si>
    <t>CLI_0170</t>
  </si>
  <si>
    <t>CLI_0171</t>
  </si>
  <si>
    <t>CLI_0172</t>
  </si>
  <si>
    <t>CLI_0173</t>
  </si>
  <si>
    <t>CLI_0174</t>
  </si>
  <si>
    <t>CLI_0175</t>
  </si>
  <si>
    <t>CLI_0176</t>
  </si>
  <si>
    <t>CLI_0177</t>
  </si>
  <si>
    <t>CLI_0178</t>
  </si>
  <si>
    <t>CLI_0179</t>
  </si>
  <si>
    <t>CLI_0180</t>
  </si>
  <si>
    <t>CLI_0181</t>
  </si>
  <si>
    <t>CLI_0182</t>
  </si>
  <si>
    <t>CLI_0183</t>
  </si>
  <si>
    <t>CLI_0184</t>
  </si>
  <si>
    <t>CLI_0185</t>
  </si>
  <si>
    <t>CLI_0186</t>
  </si>
  <si>
    <t>CLI_0187</t>
  </si>
  <si>
    <t>CLI_0188</t>
  </si>
  <si>
    <t>CLI_0189</t>
  </si>
  <si>
    <t>CLI_0190</t>
  </si>
  <si>
    <t>CLI_0191</t>
  </si>
  <si>
    <t>CLI_0192</t>
  </si>
  <si>
    <t>CLI_0193</t>
  </si>
  <si>
    <t>CLI_0194</t>
  </si>
  <si>
    <t>CLI_0195</t>
  </si>
  <si>
    <t>CLI_0196</t>
  </si>
  <si>
    <t>CLI_0197</t>
  </si>
  <si>
    <t>CLI_0198</t>
  </si>
  <si>
    <t>CLI_0199</t>
  </si>
  <si>
    <t>CLI_0200</t>
  </si>
  <si>
    <t>CLI_0201</t>
  </si>
  <si>
    <t>CLI_0202</t>
  </si>
  <si>
    <t>CLI_0203</t>
  </si>
  <si>
    <t>CLI_0204</t>
  </si>
  <si>
    <t>CLI_0205</t>
  </si>
  <si>
    <t>CLI_0206</t>
  </si>
  <si>
    <t>CLI_0207</t>
  </si>
  <si>
    <t>CLI_0208</t>
  </si>
  <si>
    <t>CLI_0209</t>
  </si>
  <si>
    <t>CLI_0210</t>
  </si>
  <si>
    <t>CLI_0211</t>
  </si>
  <si>
    <t>CLI_0212</t>
  </si>
  <si>
    <t>CLI_0213</t>
  </si>
  <si>
    <t>CLI_0214</t>
  </si>
  <si>
    <t>CLI_0215</t>
  </si>
  <si>
    <t>CLI_0216</t>
  </si>
  <si>
    <t>CLI_0217</t>
  </si>
  <si>
    <t>CLI_0218</t>
  </si>
  <si>
    <t>CLI_0219</t>
  </si>
  <si>
    <t>CLI_0220</t>
  </si>
  <si>
    <t>CLI_0221</t>
  </si>
  <si>
    <t>CLI_0222</t>
  </si>
  <si>
    <t>CLI_0223</t>
  </si>
  <si>
    <t>CLI_0224</t>
  </si>
  <si>
    <t>CLI_0225</t>
  </si>
  <si>
    <t>CLI_0226</t>
  </si>
  <si>
    <t>CLI_0227</t>
  </si>
  <si>
    <t>CLI_0228</t>
  </si>
  <si>
    <t>CLI_0229</t>
  </si>
  <si>
    <t>CLI_0230</t>
  </si>
  <si>
    <t>CLI_0231</t>
  </si>
  <si>
    <t>CLI_0232</t>
  </si>
  <si>
    <t>CLI_0233</t>
  </si>
  <si>
    <t>CLI_0234</t>
  </si>
  <si>
    <t>CLI_0235</t>
  </si>
  <si>
    <t>CLI_0236</t>
  </si>
  <si>
    <t>CLI_0237</t>
  </si>
  <si>
    <t>CLI_0238</t>
  </si>
  <si>
    <t>CLI_0239</t>
  </si>
  <si>
    <t>CLI_0240</t>
  </si>
  <si>
    <t>CLI_0241</t>
  </si>
  <si>
    <t>CLI_0242</t>
  </si>
  <si>
    <t>CLI_0243</t>
  </si>
  <si>
    <t>CLI_0244</t>
  </si>
  <si>
    <t>CLI_0245</t>
  </si>
  <si>
    <t>CLI_0246</t>
  </si>
  <si>
    <t>CLI_0247</t>
  </si>
  <si>
    <t>CLI_0248</t>
  </si>
  <si>
    <t>CLI_0249</t>
  </si>
  <si>
    <t>CLI_0250</t>
  </si>
  <si>
    <t>CLI_0251</t>
  </si>
  <si>
    <t>CLI_0252</t>
  </si>
  <si>
    <t>CLI_0253</t>
  </si>
  <si>
    <t>CLI_0254</t>
  </si>
  <si>
    <t>CLI_0255</t>
  </si>
  <si>
    <t>CLI_0256</t>
  </si>
  <si>
    <t>CLI_0257</t>
  </si>
  <si>
    <t>CLI_0258</t>
  </si>
  <si>
    <t>CLI_0259</t>
  </si>
  <si>
    <t>CLI_0260</t>
  </si>
  <si>
    <t>CLI_0261</t>
  </si>
  <si>
    <t>CLI_0262</t>
  </si>
  <si>
    <t>CLI_0263</t>
  </si>
  <si>
    <t>CLI_0264</t>
  </si>
  <si>
    <t>CLI_0265</t>
  </si>
  <si>
    <t>CLI_0266</t>
  </si>
  <si>
    <t>CLI_0267</t>
  </si>
  <si>
    <t>CLI_0268</t>
  </si>
  <si>
    <t>CLI_0269</t>
  </si>
  <si>
    <t>CLI_0270</t>
  </si>
  <si>
    <t>CLI_0271</t>
  </si>
  <si>
    <t>CLI_0272</t>
  </si>
  <si>
    <t>CLI_0273</t>
  </si>
  <si>
    <t>CLI_0274</t>
  </si>
  <si>
    <t>CLI_0275</t>
  </si>
  <si>
    <t>CLI_0276</t>
  </si>
  <si>
    <t>CLI_0277</t>
  </si>
  <si>
    <t>CLI_0278</t>
  </si>
  <si>
    <t>CLI_0279</t>
  </si>
  <si>
    <t>CLI_0280</t>
  </si>
  <si>
    <t>CLI_0281</t>
  </si>
  <si>
    <t>CLI_0282</t>
  </si>
  <si>
    <t>CLI_0283</t>
  </si>
  <si>
    <t>CLI_0284</t>
  </si>
  <si>
    <t>CLI_0285</t>
  </si>
  <si>
    <t>CLI_0286</t>
  </si>
  <si>
    <t>CLI_0287</t>
  </si>
  <si>
    <t>CLI_0288</t>
  </si>
  <si>
    <t>CLI_0289</t>
  </si>
  <si>
    <t>CLI_0290</t>
  </si>
  <si>
    <t>CLI_0291</t>
  </si>
  <si>
    <t>CLI_0292</t>
  </si>
  <si>
    <t>CLI_0293</t>
  </si>
  <si>
    <t>CLI_0294</t>
  </si>
  <si>
    <t>CLI_0295</t>
  </si>
  <si>
    <t>CLI_0296</t>
  </si>
  <si>
    <t>CLI_0297</t>
  </si>
  <si>
    <t>CLI_0298</t>
  </si>
  <si>
    <t>CLI_0299</t>
  </si>
  <si>
    <t>CLI_0300</t>
  </si>
  <si>
    <t>CLI_0301</t>
  </si>
  <si>
    <t>CLI_0302</t>
  </si>
  <si>
    <t>CLI_0303</t>
  </si>
  <si>
    <t>CLI_0304</t>
  </si>
  <si>
    <t>CLI_0305</t>
  </si>
  <si>
    <t>CLI_0306</t>
  </si>
  <si>
    <t>CLI_0307</t>
  </si>
  <si>
    <t>CLI_0308</t>
  </si>
  <si>
    <t>CLI_0309</t>
  </si>
  <si>
    <t>CLI_0310</t>
  </si>
  <si>
    <t>CLI_0311</t>
  </si>
  <si>
    <t>CLI_0312</t>
  </si>
  <si>
    <t>CLI_0313</t>
  </si>
  <si>
    <t>CLI_0314</t>
  </si>
  <si>
    <t>CLI_0315</t>
  </si>
  <si>
    <t>CLI_0316</t>
  </si>
  <si>
    <t>CLI_0317</t>
  </si>
  <si>
    <t>CLI_0318</t>
  </si>
  <si>
    <t>CLI_0319</t>
  </si>
  <si>
    <t>CLI_0320</t>
  </si>
  <si>
    <t>sexo</t>
  </si>
  <si>
    <t>edad</t>
  </si>
  <si>
    <t>oferta_comercial</t>
  </si>
  <si>
    <t>tamano_negocio</t>
  </si>
  <si>
    <t>Masculino</t>
  </si>
  <si>
    <t>Femenino</t>
  </si>
  <si>
    <t>Ampliación de cupo</t>
  </si>
  <si>
    <t>Pequeña empresa</t>
  </si>
  <si>
    <t>Reestructuración de deuda</t>
  </si>
  <si>
    <t>Plan de alivio de pagos</t>
  </si>
  <si>
    <t>Microempresa</t>
  </si>
  <si>
    <t>Educación financiera + seguro</t>
  </si>
  <si>
    <t>Mediana empresa</t>
  </si>
  <si>
    <t>Medellín</t>
  </si>
  <si>
    <t>Itagüí</t>
  </si>
  <si>
    <t>Bogotá</t>
  </si>
  <si>
    <t>Crédito Rotativo</t>
  </si>
  <si>
    <t>Línea Emprendimiento</t>
  </si>
  <si>
    <t>Microcrédito Individual</t>
  </si>
  <si>
    <t>Crédito Grupal Solidario</t>
  </si>
  <si>
    <t>Atlántico</t>
  </si>
  <si>
    <t>saldo_mora_30</t>
  </si>
  <si>
    <t>Etiquetas de fila</t>
  </si>
  <si>
    <t>Total general</t>
  </si>
  <si>
    <t>Suma de saldo_cartera</t>
  </si>
  <si>
    <t>Suma de saldo_mora_30</t>
  </si>
  <si>
    <t>Suma de saldo_mora_30_2</t>
  </si>
  <si>
    <t>tasa_mora_ciudad</t>
  </si>
  <si>
    <t>% CARTERA EN MORA</t>
  </si>
  <si>
    <t>PUNTO 2</t>
  </si>
  <si>
    <t>punto 1</t>
  </si>
  <si>
    <r>
      <t>1.</t>
    </r>
    <r>
      <rPr>
        <b/>
        <sz val="7"/>
        <color theme="1"/>
        <rFont val="Times New Roman"/>
        <family val="1"/>
      </rPr>
      <t xml:space="preserve">    </t>
    </r>
    <r>
      <rPr>
        <b/>
        <sz val="11"/>
        <color theme="1"/>
        <rFont val="Calibri"/>
        <family val="2"/>
      </rPr>
      <t>Saldo total de cartera y cartera en mora (&gt;30 días) por ciudad.</t>
    </r>
  </si>
  <si>
    <t>Etiquetas de columna</t>
  </si>
  <si>
    <t>asesor_id</t>
  </si>
  <si>
    <t>nombre_generico</t>
  </si>
  <si>
    <t>ciudad_base</t>
  </si>
  <si>
    <t>latitud_base</t>
  </si>
  <si>
    <t>longitud_base</t>
  </si>
  <si>
    <t>capacidad_maxima_clientes</t>
  </si>
  <si>
    <t>Asesor_001</t>
  </si>
  <si>
    <t>Asesor_002</t>
  </si>
  <si>
    <t>Asesor_003</t>
  </si>
  <si>
    <t>Asesor_004</t>
  </si>
  <si>
    <t>Asesor_005</t>
  </si>
  <si>
    <t>Asesor_006</t>
  </si>
  <si>
    <t>Asesor_007</t>
  </si>
  <si>
    <t>Asesor_008</t>
  </si>
  <si>
    <t>AtlÃ¡ntico</t>
  </si>
  <si>
    <t>Asesor_009</t>
  </si>
  <si>
    <t>Asesor_010</t>
  </si>
  <si>
    <t>Ciudad_asesor</t>
  </si>
  <si>
    <t>MISMO_CIUDAD</t>
  </si>
  <si>
    <r>
      <t>2.</t>
    </r>
    <r>
      <rPr>
        <b/>
        <sz val="7"/>
        <color theme="1"/>
        <rFont val="Times New Roman"/>
        <family val="1"/>
      </rPr>
      <t xml:space="preserve">    </t>
    </r>
    <r>
      <rPr>
        <b/>
        <sz val="11"/>
        <color theme="1"/>
        <rFont val="Calibri"/>
        <family val="2"/>
      </rPr>
      <t>Top 5 asesores con mayor saldo de cartera en mora (&gt;30 días).</t>
    </r>
  </si>
  <si>
    <r>
      <t>3.</t>
    </r>
    <r>
      <rPr>
        <sz val="7"/>
        <color theme="1"/>
        <rFont val="Times New Roman"/>
        <family val="1"/>
      </rPr>
      <t xml:space="preserve">    </t>
    </r>
    <r>
      <rPr>
        <sz val="11"/>
        <color theme="1"/>
        <rFont val="Calibri"/>
        <family val="2"/>
      </rPr>
      <t>Distribución de clientes y saldo de cartera por producto de crédito y sector económico.</t>
    </r>
  </si>
  <si>
    <t>MORA POR PRODUCTO</t>
  </si>
  <si>
    <t>PUNTO 4</t>
  </si>
  <si>
    <t>ANÁLISIS DE ESCENARIOS - CUPO ADICIONAL PARA CALI (Bloque B3 - Extra)</t>
  </si>
  <si>
    <t>Objetivo: estimar la cartera en riesgo si se asigna un cupo adicional
de $1,000 millones a clientes de Cali, bajo 3 escenarios que representan
distintas políticas de originación (a quién se le presta), usando tasas
de mora reales observadas en los segmentos de clientes definidos en B2.
- Pesimista: se presta a TODOS los clientes de Cali por igual (tasa histórica de Cali).
- Medio: se excluye únicamente al segmento "Riesgo alto" (de B2).
- Optimista: se presta solo a los segmentos "Bajo riesgo" y "Base estándar" (de B2).
Las tasas de mora usadas provienen de datos observados (Excel B1 y
Python B2), no de supuestos arbitrarios.</t>
  </si>
  <si>
    <t>¿debería prestar más ahí, y bajo qué condiciones?"</t>
  </si>
  <si>
    <t>tasa de mora que se observo enlos clientes de cali punto 1</t>
  </si>
  <si>
    <t>Escenario</t>
  </si>
  <si>
    <t>Cupo adicional</t>
  </si>
  <si>
    <t>Cartera en riesgo</t>
  </si>
  <si>
    <t>Pesimista</t>
  </si>
  <si>
    <t>medio</t>
  </si>
  <si>
    <t>optimista</t>
  </si>
  <si>
    <t>Resumen del escenario</t>
  </si>
  <si>
    <t>Valores actuales:</t>
  </si>
  <si>
    <t>pesimista</t>
  </si>
  <si>
    <t>Creado por Andres Cerquera el 05/09/2026</t>
  </si>
  <si>
    <t>Celdas cambiantes:</t>
  </si>
  <si>
    <t>$B$21</t>
  </si>
  <si>
    <t>Celdas de resultado:</t>
  </si>
  <si>
    <t>$D$18</t>
  </si>
  <si>
    <t>Notas: La columna de valores actuales representa los valores de las celdas cambiantes</t>
  </si>
  <si>
    <t>en el momento en que se creó el Informe resumen de escenario. Las celdas cambiantes de</t>
  </si>
  <si>
    <t>cada escenario se muestran en gris.</t>
  </si>
  <si>
    <r>
      <t xml:space="preserve">RECOMENDACION:Enfocar el nuevo cupo en los clusters "Bajo riesgo" y "Base estándar" (los definidos en B2), y evitar por completo al cluster "Riesgo alto". </t>
    </r>
    <r>
      <rPr>
        <b/>
        <u/>
        <sz val="12"/>
        <color theme="0"/>
        <rFont val="Aptos Narrow"/>
        <family val="2"/>
        <scheme val="minor"/>
      </rPr>
      <t>no se recomienda frenar el crecimiento en Cali</t>
    </r>
    <r>
      <rPr>
        <b/>
        <sz val="12"/>
        <color theme="0"/>
        <rFont val="Aptos Narrow"/>
        <family val="2"/>
        <scheme val="minor"/>
      </rPr>
      <t>,</t>
    </r>
    <r>
      <rPr>
        <sz val="11"/>
        <color theme="0"/>
        <rFont val="Aptos Narrow"/>
        <family val="2"/>
        <scheme val="minor"/>
      </rPr>
      <t xml:space="preserve"> pero sí canalizarlo selectivamente hacia los clientes de mejor comportamiento histórico, en vez de repartir el cupo nuevo de forma pareja entre todos.</t>
    </r>
  </si>
  <si>
    <t>GRAFICO DENDROGRAMAS !!!!</t>
  </si>
  <si>
    <t>grafica anexos</t>
  </si>
  <si>
    <t>dinero que probablemente entrara en mora bsado en el comportamiento historico observado</t>
  </si>
  <si>
    <t>Tasa de mora esperada para cali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</si>
</sst>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40A]\ * #,##0.00_-;\-[$$-240A]\ * #,##0.00_-;_-[$$-240A]\ * &quot;-&quot;??_-;_-@_-"/>
    <numFmt numFmtId="165" formatCode="\$#,##0"/>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theme="1"/>
      <name val="Calibri"/>
      <family val="2"/>
    </font>
    <font>
      <sz val="7"/>
      <color theme="1"/>
      <name val="Times New Roman"/>
      <family val="1"/>
    </font>
    <font>
      <b/>
      <sz val="11"/>
      <color theme="1"/>
      <name val="Calibri"/>
      <family val="2"/>
    </font>
    <font>
      <b/>
      <sz val="7"/>
      <color theme="1"/>
      <name val="Times New Roman"/>
      <family val="1"/>
    </font>
    <font>
      <sz val="16"/>
      <color theme="0"/>
      <name val="Aptos Narrow"/>
      <family val="2"/>
      <scheme val="minor"/>
    </font>
    <font>
      <b/>
      <sz val="11"/>
      <color rgb="FFFFFFFF"/>
      <name val="Calibri"/>
      <family val="2"/>
    </font>
    <font>
      <b/>
      <sz val="12"/>
      <color indexed="9"/>
      <name val="Aptos Narrow"/>
      <family val="2"/>
      <scheme val="minor"/>
    </font>
    <font>
      <sz val="10"/>
      <color indexed="9"/>
      <name val="Aptos Narrow"/>
      <family val="2"/>
      <scheme val="minor"/>
    </font>
    <font>
      <b/>
      <sz val="11"/>
      <color indexed="8"/>
      <name val="Aptos Narrow"/>
      <family val="2"/>
      <scheme val="minor"/>
    </font>
    <font>
      <sz val="8"/>
      <color theme="1"/>
      <name val="Aptos Narrow"/>
      <family val="2"/>
      <scheme val="minor"/>
    </font>
    <font>
      <b/>
      <sz val="11"/>
      <color indexed="18"/>
      <name val="Aptos Narrow"/>
      <family val="2"/>
      <scheme val="minor"/>
    </font>
    <font>
      <b/>
      <u/>
      <sz val="12"/>
      <color theme="0"/>
      <name val="Aptos Narrow"/>
      <family val="2"/>
      <scheme val="minor"/>
    </font>
    <font>
      <b/>
      <sz val="12"/>
      <color theme="0"/>
      <name val="Aptos Narrow"/>
      <family val="2"/>
      <scheme val="minor"/>
    </font>
    <font>
      <sz val="20"/>
      <color theme="1"/>
      <name val="Aptos Narrow"/>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rgb="FF4472C4"/>
        <bgColor rgb="FF4472C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7"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style="medium">
        <color indexed="64"/>
      </top>
      <bottom/>
      <diagonal/>
    </border>
    <border>
      <left/>
      <right/>
      <top style="thin">
        <color indexed="64"/>
      </top>
      <bottom style="thin">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3">
    <xf numFmtId="0" fontId="0" fillId="0" borderId="0" xfId="0"/>
    <xf numFmtId="3" fontId="0" fillId="0" borderId="0" xfId="0" applyNumberFormat="1"/>
    <xf numFmtId="14" fontId="0" fillId="0" borderId="0" xfId="0" applyNumberFormat="1"/>
    <xf numFmtId="0" fontId="18" fillId="0" borderId="0" xfId="0" applyFont="1"/>
    <xf numFmtId="164" fontId="0" fillId="0" borderId="0" xfId="0" applyNumberFormat="1"/>
    <xf numFmtId="0" fontId="16" fillId="0" borderId="0" xfId="0" applyFont="1"/>
    <xf numFmtId="0" fontId="0" fillId="0" borderId="0" xfId="0" applyAlignment="1">
      <alignment horizontal="center"/>
    </xf>
    <xf numFmtId="0" fontId="0" fillId="33" borderId="0" xfId="0" applyFill="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0" fillId="34" borderId="0" xfId="0" applyFill="1" applyAlignment="1">
      <alignment horizontal="center"/>
    </xf>
    <xf numFmtId="0" fontId="21" fillId="0" borderId="0" xfId="0" applyFont="1" applyAlignment="1">
      <alignment horizontal="left" vertical="center" indent="4"/>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0" fontId="0" fillId="0" borderId="10" xfId="0" applyNumberFormat="1" applyBorder="1" applyAlignment="1">
      <alignment horizontal="center"/>
    </xf>
    <xf numFmtId="164" fontId="0" fillId="0" borderId="12" xfId="0" applyNumberFormat="1" applyBorder="1" applyAlignment="1">
      <alignment horizontal="center"/>
    </xf>
    <xf numFmtId="0" fontId="0" fillId="0" borderId="15" xfId="0" applyBorder="1" applyAlignment="1">
      <alignment horizontal="center"/>
    </xf>
    <xf numFmtId="9" fontId="0" fillId="0" borderId="0" xfId="42" applyFont="1" applyBorder="1" applyAlignment="1">
      <alignment horizontal="center"/>
    </xf>
    <xf numFmtId="10" fontId="0" fillId="0" borderId="13" xfId="0" applyNumberFormat="1" applyBorder="1" applyAlignment="1">
      <alignment horizontal="center"/>
    </xf>
    <xf numFmtId="164" fontId="0" fillId="0" borderId="14" xfId="0" applyNumberForma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64" fontId="0" fillId="0" borderId="19" xfId="0" applyNumberFormat="1" applyBorder="1" applyAlignment="1">
      <alignment horizontal="center"/>
    </xf>
    <xf numFmtId="0" fontId="0" fillId="0" borderId="20"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15" xfId="0" pivotButton="1" applyBorder="1" applyAlignment="1">
      <alignment horizontal="center"/>
    </xf>
    <xf numFmtId="0" fontId="0" fillId="0" borderId="18" xfId="0" applyBorder="1"/>
    <xf numFmtId="0" fontId="0" fillId="0" borderId="21" xfId="0" applyBorder="1"/>
    <xf numFmtId="0" fontId="0" fillId="0" borderId="19" xfId="0" applyBorder="1"/>
    <xf numFmtId="0" fontId="0" fillId="0" borderId="14" xfId="0" applyBorder="1" applyAlignment="1">
      <alignment horizontal="center"/>
    </xf>
    <xf numFmtId="10" fontId="0" fillId="0" borderId="0" xfId="42" applyNumberFormat="1" applyFont="1" applyBorder="1" applyAlignment="1">
      <alignment horizontal="center"/>
    </xf>
    <xf numFmtId="10" fontId="0" fillId="36" borderId="0" xfId="42" applyNumberFormat="1" applyFont="1" applyFill="1" applyBorder="1" applyAlignment="1">
      <alignment horizontal="center"/>
    </xf>
    <xf numFmtId="0" fontId="0" fillId="0" borderId="14" xfId="0" pivotButton="1" applyBorder="1" applyAlignment="1">
      <alignment horizontal="center"/>
    </xf>
    <xf numFmtId="0" fontId="16" fillId="0" borderId="21" xfId="0" applyFont="1" applyBorder="1"/>
    <xf numFmtId="0" fontId="21" fillId="0" borderId="21" xfId="0" applyFont="1" applyBorder="1" applyAlignment="1">
      <alignment horizontal="left" vertical="center" indent="4"/>
    </xf>
    <xf numFmtId="0" fontId="19" fillId="0" borderId="19" xfId="0" applyFont="1" applyBorder="1" applyAlignment="1">
      <alignment horizontal="left" vertical="center" indent="4"/>
    </xf>
    <xf numFmtId="0" fontId="0" fillId="0" borderId="14" xfId="0" applyBorder="1" applyAlignment="1">
      <alignment horizontal="left"/>
    </xf>
    <xf numFmtId="0" fontId="0" fillId="37" borderId="0" xfId="0" applyFill="1"/>
    <xf numFmtId="0" fontId="24" fillId="39" borderId="0" xfId="0" applyFont="1" applyFill="1" applyAlignment="1">
      <alignment horizontal="center"/>
    </xf>
    <xf numFmtId="10" fontId="0" fillId="0" borderId="0" xfId="0" applyNumberFormat="1"/>
    <xf numFmtId="165" fontId="0" fillId="0" borderId="0" xfId="0" applyNumberFormat="1"/>
    <xf numFmtId="9" fontId="0" fillId="0" borderId="0" xfId="0" applyNumberFormat="1"/>
    <xf numFmtId="0" fontId="25" fillId="40" borderId="22" xfId="0" applyFont="1" applyFill="1" applyBorder="1" applyAlignment="1">
      <alignment horizontal="left"/>
    </xf>
    <xf numFmtId="0" fontId="26" fillId="40" borderId="22" xfId="0" applyFont="1" applyFill="1" applyBorder="1" applyAlignment="1">
      <alignment horizontal="right"/>
    </xf>
    <xf numFmtId="0" fontId="25" fillId="40" borderId="11" xfId="0" applyFont="1" applyFill="1" applyBorder="1" applyAlignment="1">
      <alignment horizontal="left"/>
    </xf>
    <xf numFmtId="0" fontId="26" fillId="40" borderId="11" xfId="0" applyFont="1" applyFill="1" applyBorder="1" applyAlignment="1">
      <alignment horizontal="right"/>
    </xf>
    <xf numFmtId="0" fontId="27" fillId="41" borderId="0" xfId="0" applyFont="1" applyFill="1" applyAlignment="1">
      <alignment horizontal="left"/>
    </xf>
    <xf numFmtId="0" fontId="28" fillId="0" borderId="0" xfId="0" applyFont="1" applyAlignment="1">
      <alignment vertical="top" wrapText="1"/>
    </xf>
    <xf numFmtId="0" fontId="29" fillId="41" borderId="23" xfId="0" applyFont="1" applyFill="1" applyBorder="1" applyAlignment="1">
      <alignment horizontal="left"/>
    </xf>
    <xf numFmtId="0" fontId="0" fillId="0" borderId="23" xfId="0" applyBorder="1"/>
    <xf numFmtId="0" fontId="0" fillId="42" borderId="0" xfId="0" applyFill="1"/>
    <xf numFmtId="0" fontId="27" fillId="41" borderId="24" xfId="0" applyFont="1" applyFill="1" applyBorder="1" applyAlignment="1">
      <alignment horizontal="left"/>
    </xf>
    <xf numFmtId="164" fontId="0" fillId="0" borderId="24" xfId="0" applyNumberFormat="1" applyBorder="1"/>
    <xf numFmtId="0" fontId="0" fillId="0" borderId="24" xfId="0" applyBorder="1"/>
    <xf numFmtId="0" fontId="0" fillId="34" borderId="0" xfId="0" applyFill="1"/>
    <xf numFmtId="10" fontId="0" fillId="35" borderId="0" xfId="42" applyNumberFormat="1" applyFont="1" applyFill="1" applyBorder="1" applyAlignment="1">
      <alignment horizontal="center"/>
    </xf>
    <xf numFmtId="10" fontId="0" fillId="44" borderId="0" xfId="42" applyNumberFormat="1" applyFont="1" applyFill="1" applyBorder="1" applyAlignment="1">
      <alignment horizontal="center"/>
    </xf>
    <xf numFmtId="10" fontId="0" fillId="45" borderId="18" xfId="0" applyNumberFormat="1" applyFill="1" applyBorder="1" applyAlignment="1">
      <alignment horizontal="center"/>
    </xf>
    <xf numFmtId="10" fontId="0" fillId="45" borderId="13" xfId="0" applyNumberFormat="1" applyFill="1" applyBorder="1" applyAlignment="1">
      <alignment horizontal="center"/>
    </xf>
    <xf numFmtId="10" fontId="0" fillId="46" borderId="13" xfId="0" applyNumberFormat="1" applyFill="1" applyBorder="1" applyAlignment="1">
      <alignment horizontal="center"/>
    </xf>
    <xf numFmtId="9" fontId="0" fillId="47" borderId="0" xfId="42" applyFont="1" applyFill="1" applyBorder="1" applyAlignment="1">
      <alignment horizontal="center"/>
    </xf>
    <xf numFmtId="9" fontId="0" fillId="35" borderId="0" xfId="42" applyFont="1" applyFill="1" applyBorder="1" applyAlignment="1">
      <alignment horizontal="center"/>
    </xf>
    <xf numFmtId="0" fontId="0" fillId="48" borderId="14" xfId="0" applyFill="1" applyBorder="1"/>
    <xf numFmtId="0" fontId="32" fillId="48" borderId="14" xfId="0" applyFont="1" applyFill="1" applyBorder="1"/>
    <xf numFmtId="0" fontId="0" fillId="48" borderId="0" xfId="0" applyFill="1"/>
    <xf numFmtId="0" fontId="17" fillId="43" borderId="0" xfId="0" applyFont="1" applyFill="1" applyAlignment="1">
      <alignment horizontal="center" vertical="center" wrapText="1"/>
    </xf>
    <xf numFmtId="0" fontId="17" fillId="34" borderId="0" xfId="0" applyFont="1" applyFill="1" applyAlignment="1">
      <alignment horizontal="center" vertical="center" wrapText="1"/>
    </xf>
    <xf numFmtId="0" fontId="16" fillId="37" borderId="0" xfId="0" applyFont="1" applyFill="1" applyAlignment="1">
      <alignment horizontal="center" wrapText="1"/>
    </xf>
    <xf numFmtId="0" fontId="23" fillId="38" borderId="0" xfId="0" applyFont="1" applyFill="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240A]\ * #,##0.00_-;\-[$$-240A]\ * #,##0.00_-;_-[$$-240A]\ *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240A]\ * #,##0.00_-;\-[$$-240A]\ * #,##0.00_-;_-[$$-240A]\ * &quot;-&quot;??_-;_-@_-"/>
    </dxf>
    <dxf>
      <fill>
        <patternFill patternType="solid">
          <bgColor theme="6" tint="0.59999389629810485"/>
        </patternFill>
      </fill>
    </dxf>
    <dxf>
      <fill>
        <patternFill patternType="solid">
          <bgColor theme="6" tint="0.59999389629810485"/>
        </patternFill>
      </fill>
    </dxf>
    <dxf>
      <fill>
        <patternFill>
          <bgColor theme="5" tint="0.59999389629810485"/>
        </patternFill>
      </fill>
    </dxf>
    <dxf>
      <fill>
        <patternFill patternType="solid">
          <bgColor theme="9" tint="0.39997558519241921"/>
        </patternFill>
      </fill>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numFmt numFmtId="164" formatCode="_-[$$-240A]\ * #,##0.00_-;\-[$$-240A]\ * #,##0.00_-;_-[$$-240A]\ *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14" formatCode="0.00%"/>
    </dxf>
    <dxf>
      <numFmt numFmtId="164" formatCode="_-[$$-240A]\ * #,##0.00_-;\-[$$-240A]\ * #,##0.00_-;_-[$$-240A]\ * &quot;-&quot;??_-;_-@_-"/>
    </dxf>
    <dxf>
      <numFmt numFmtId="164" formatCode="_-[$$-240A]\ * #,##0.00_-;\-[$$-240A]\ * #,##0.00_-;_-[$$-240A]\ *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numFmt numFmtId="19" formatCode="dd/mm/yyyy"/>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[clientes_ficticio_1.xlsx]punto 1 y 2!TablaDinámica1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93051871544"/>
          <c:y val="0.1173273085182534"/>
          <c:w val="0.65024587672188217"/>
          <c:h val="0.49943219100453351"/>
        </c:manualLayout>
      </c:layout>
      <c:barChart>
        <c:barDir val="col"/>
        <c:grouping val="clustered"/>
        <c:varyColors val="0"/>
        <c:ser>
          <c:idx val="0"/>
          <c:order val="0"/>
          <c:tx>
            <c:strRef>
              <c:f>'punto 1 y 2'!$B$3</c:f>
              <c:strCache>
                <c:ptCount val="1"/>
                <c:pt idx="0">
                  <c:v>Suma de saldo_cartera</c:v>
                </c:pt>
              </c:strCache>
            </c:strRef>
          </c:tx>
          <c:spPr>
            <a:solidFill>
              <a:schemeClr val="accent1"/>
            </a:solidFill>
            <a:ln>
              <a:noFill/>
            </a:ln>
            <a:effectLst/>
          </c:spPr>
          <c:invertIfNegative val="0"/>
          <c:cat>
            <c:strRef>
              <c:f>'punto 1 y 2'!$A$4:$A$14</c:f>
              <c:strCache>
                <c:ptCount val="10"/>
                <c:pt idx="0">
                  <c:v>Cali</c:v>
                </c:pt>
                <c:pt idx="1">
                  <c:v>Bello</c:v>
                </c:pt>
                <c:pt idx="2">
                  <c:v>Itagüí</c:v>
                </c:pt>
                <c:pt idx="3">
                  <c:v>Bogotá</c:v>
                </c:pt>
                <c:pt idx="4">
                  <c:v>Bucaramanga</c:v>
                </c:pt>
                <c:pt idx="5">
                  <c:v>Soacha</c:v>
                </c:pt>
                <c:pt idx="6">
                  <c:v>Medellín</c:v>
                </c:pt>
                <c:pt idx="7">
                  <c:v>Barranquilla</c:v>
                </c:pt>
                <c:pt idx="8">
                  <c:v>Rionegro</c:v>
                </c:pt>
                <c:pt idx="9">
                  <c:v>Pereira</c:v>
                </c:pt>
              </c:strCache>
            </c:strRef>
          </c:cat>
          <c:val>
            <c:numRef>
              <c:f>'punto 1 y 2'!$B$4:$B$14</c:f>
              <c:numCache>
                <c:formatCode>_-[$$-240A]\ * #,##0.00_-;\-[$$-240A]\ * #,##0.00_-;_-[$$-240A]\ * "-"??_-;_-@_-</c:formatCode>
                <c:ptCount val="10"/>
                <c:pt idx="0">
                  <c:v>57750191</c:v>
                </c:pt>
                <c:pt idx="1">
                  <c:v>54404332</c:v>
                </c:pt>
                <c:pt idx="2">
                  <c:v>34910306</c:v>
                </c:pt>
                <c:pt idx="3">
                  <c:v>45723154</c:v>
                </c:pt>
                <c:pt idx="4">
                  <c:v>46797287</c:v>
                </c:pt>
                <c:pt idx="5">
                  <c:v>41401323</c:v>
                </c:pt>
                <c:pt idx="6">
                  <c:v>25978256</c:v>
                </c:pt>
                <c:pt idx="7">
                  <c:v>34417841</c:v>
                </c:pt>
                <c:pt idx="8">
                  <c:v>39735794</c:v>
                </c:pt>
                <c:pt idx="9">
                  <c:v>31534234</c:v>
                </c:pt>
              </c:numCache>
            </c:numRef>
          </c:val>
          <c:extLst>
            <c:ext xmlns:c16="http://schemas.microsoft.com/office/drawing/2014/chart" uri="{C3380CC4-5D6E-409C-BE32-E72D297353CC}">
              <c16:uniqueId val="{00000000-E150-40C8-9F6F-C0927A07E4D4}"/>
            </c:ext>
          </c:extLst>
        </c:ser>
        <c:ser>
          <c:idx val="1"/>
          <c:order val="1"/>
          <c:tx>
            <c:strRef>
              <c:f>'punto 1 y 2'!$C$3</c:f>
              <c:strCache>
                <c:ptCount val="1"/>
                <c:pt idx="0">
                  <c:v>Suma de saldo_mora_30</c:v>
                </c:pt>
              </c:strCache>
            </c:strRef>
          </c:tx>
          <c:spPr>
            <a:solidFill>
              <a:schemeClr val="accent2"/>
            </a:solidFill>
            <a:ln>
              <a:noFill/>
            </a:ln>
            <a:effectLst/>
          </c:spPr>
          <c:invertIfNegative val="0"/>
          <c:cat>
            <c:strRef>
              <c:f>'punto 1 y 2'!$A$4:$A$14</c:f>
              <c:strCache>
                <c:ptCount val="10"/>
                <c:pt idx="0">
                  <c:v>Cali</c:v>
                </c:pt>
                <c:pt idx="1">
                  <c:v>Bello</c:v>
                </c:pt>
                <c:pt idx="2">
                  <c:v>Itagüí</c:v>
                </c:pt>
                <c:pt idx="3">
                  <c:v>Bogotá</c:v>
                </c:pt>
                <c:pt idx="4">
                  <c:v>Bucaramanga</c:v>
                </c:pt>
                <c:pt idx="5">
                  <c:v>Soacha</c:v>
                </c:pt>
                <c:pt idx="6">
                  <c:v>Medellín</c:v>
                </c:pt>
                <c:pt idx="7">
                  <c:v>Barranquilla</c:v>
                </c:pt>
                <c:pt idx="8">
                  <c:v>Rionegro</c:v>
                </c:pt>
                <c:pt idx="9">
                  <c:v>Pereira</c:v>
                </c:pt>
              </c:strCache>
            </c:strRef>
          </c:cat>
          <c:val>
            <c:numRef>
              <c:f>'punto 1 y 2'!$C$4:$C$14</c:f>
              <c:numCache>
                <c:formatCode>_-[$$-240A]\ * #,##0.00_-;\-[$$-240A]\ * #,##0.00_-;_-[$$-240A]\ * "-"??_-;_-@_-</c:formatCode>
                <c:ptCount val="10"/>
                <c:pt idx="0">
                  <c:v>13240914</c:v>
                </c:pt>
                <c:pt idx="1">
                  <c:v>6833546</c:v>
                </c:pt>
                <c:pt idx="2">
                  <c:v>6378456</c:v>
                </c:pt>
                <c:pt idx="3">
                  <c:v>4348951</c:v>
                </c:pt>
                <c:pt idx="4">
                  <c:v>3697629</c:v>
                </c:pt>
                <c:pt idx="5">
                  <c:v>2727658</c:v>
                </c:pt>
                <c:pt idx="6">
                  <c:v>2545962</c:v>
                </c:pt>
                <c:pt idx="7">
                  <c:v>2105511</c:v>
                </c:pt>
                <c:pt idx="8">
                  <c:v>1977941</c:v>
                </c:pt>
                <c:pt idx="9">
                  <c:v>1741901</c:v>
                </c:pt>
              </c:numCache>
            </c:numRef>
          </c:val>
          <c:extLst>
            <c:ext xmlns:c16="http://schemas.microsoft.com/office/drawing/2014/chart" uri="{C3380CC4-5D6E-409C-BE32-E72D297353CC}">
              <c16:uniqueId val="{00000001-E150-40C8-9F6F-C0927A07E4D4}"/>
            </c:ext>
          </c:extLst>
        </c:ser>
        <c:ser>
          <c:idx val="2"/>
          <c:order val="2"/>
          <c:tx>
            <c:strRef>
              <c:f>'punto 1 y 2'!$D$3</c:f>
              <c:strCache>
                <c:ptCount val="1"/>
                <c:pt idx="0">
                  <c:v>Suma de saldo_mora_30_2</c:v>
                </c:pt>
              </c:strCache>
            </c:strRef>
          </c:tx>
          <c:spPr>
            <a:solidFill>
              <a:schemeClr val="accent3"/>
            </a:solidFill>
            <a:ln>
              <a:noFill/>
            </a:ln>
            <a:effectLst/>
          </c:spPr>
          <c:invertIfNegative val="0"/>
          <c:cat>
            <c:strRef>
              <c:f>'punto 1 y 2'!$A$4:$A$14</c:f>
              <c:strCache>
                <c:ptCount val="10"/>
                <c:pt idx="0">
                  <c:v>Cali</c:v>
                </c:pt>
                <c:pt idx="1">
                  <c:v>Bello</c:v>
                </c:pt>
                <c:pt idx="2">
                  <c:v>Itagüí</c:v>
                </c:pt>
                <c:pt idx="3">
                  <c:v>Bogotá</c:v>
                </c:pt>
                <c:pt idx="4">
                  <c:v>Bucaramanga</c:v>
                </c:pt>
                <c:pt idx="5">
                  <c:v>Soacha</c:v>
                </c:pt>
                <c:pt idx="6">
                  <c:v>Medellín</c:v>
                </c:pt>
                <c:pt idx="7">
                  <c:v>Barranquilla</c:v>
                </c:pt>
                <c:pt idx="8">
                  <c:v>Rionegro</c:v>
                </c:pt>
                <c:pt idx="9">
                  <c:v>Pereira</c:v>
                </c:pt>
              </c:strCache>
            </c:strRef>
          </c:cat>
          <c:val>
            <c:numRef>
              <c:f>'punto 1 y 2'!$D$4:$D$14</c:f>
              <c:numCache>
                <c:formatCode>0.00%</c:formatCode>
                <c:ptCount val="10"/>
                <c:pt idx="0">
                  <c:v>0.29038067045628219</c:v>
                </c:pt>
                <c:pt idx="1">
                  <c:v>0.14986349651344655</c:v>
                </c:pt>
                <c:pt idx="2">
                  <c:v>0.13988311756695165</c:v>
                </c:pt>
                <c:pt idx="3">
                  <c:v>9.5374934627739369E-2</c:v>
                </c:pt>
                <c:pt idx="4">
                  <c:v>8.1091077860530797E-2</c:v>
                </c:pt>
                <c:pt idx="5">
                  <c:v>5.981906980254096E-2</c:v>
                </c:pt>
                <c:pt idx="6">
                  <c:v>5.5834374614638929E-2</c:v>
                </c:pt>
                <c:pt idx="7">
                  <c:v>4.6175037148725319E-2</c:v>
                </c:pt>
                <c:pt idx="8">
                  <c:v>4.3377355498492726E-2</c:v>
                </c:pt>
                <c:pt idx="9">
                  <c:v>3.820086591065152E-2</c:v>
                </c:pt>
              </c:numCache>
            </c:numRef>
          </c:val>
          <c:extLst>
            <c:ext xmlns:c16="http://schemas.microsoft.com/office/drawing/2014/chart" uri="{C3380CC4-5D6E-409C-BE32-E72D297353CC}">
              <c16:uniqueId val="{00000002-E150-40C8-9F6F-C0927A07E4D4}"/>
            </c:ext>
          </c:extLst>
        </c:ser>
        <c:dLbls>
          <c:showLegendKey val="0"/>
          <c:showVal val="0"/>
          <c:showCatName val="0"/>
          <c:showSerName val="0"/>
          <c:showPercent val="0"/>
          <c:showBubbleSize val="0"/>
        </c:dLbls>
        <c:gapWidth val="219"/>
        <c:overlap val="-27"/>
        <c:axId val="1975855855"/>
        <c:axId val="1919794799"/>
      </c:barChart>
      <c:catAx>
        <c:axId val="19758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9794799"/>
        <c:crosses val="autoZero"/>
        <c:auto val="1"/>
        <c:lblAlgn val="ctr"/>
        <c:lblOffset val="100"/>
        <c:noMultiLvlLbl val="0"/>
      </c:catAx>
      <c:valAx>
        <c:axId val="1919794799"/>
        <c:scaling>
          <c:orientation val="minMax"/>
        </c:scaling>
        <c:delete val="0"/>
        <c:axPos val="l"/>
        <c:majorGridlines>
          <c:spPr>
            <a:ln w="9525" cap="flat" cmpd="sng" algn="ctr">
              <a:solidFill>
                <a:schemeClr val="tx1">
                  <a:lumMod val="15000"/>
                  <a:lumOff val="85000"/>
                </a:schemeClr>
              </a:solidFill>
              <a:round/>
            </a:ln>
            <a:effectLst/>
          </c:spPr>
        </c:majorGridlines>
        <c:numFmt formatCode="_-[$$-240A]\ * #,##0.00_-;\-[$$-240A]\ * #,##0.0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7585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[clientes_ficticio_1.xlsx]punto 1 y 2!TablaDinámica2</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'punto 1 y 2'!$B$35</c:f>
              <c:strCache>
                <c:ptCount val="1"/>
                <c:pt idx="0">
                  <c:v>Suma de saldo_mora_30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'punto 1 y 2'!$A$36:$A$46</c:f>
              <c:strCache>
                <c:ptCount val="10"/>
                <c:pt idx="0">
                  <c:v>ASE_004</c:v>
                </c:pt>
                <c:pt idx="1">
                  <c:v>ASE_005</c:v>
                </c:pt>
                <c:pt idx="2">
                  <c:v>ASE_008</c:v>
                </c:pt>
                <c:pt idx="3">
                  <c:v>ASE_001</c:v>
                </c:pt>
                <c:pt idx="4">
                  <c:v>ASE_009</c:v>
                </c:pt>
                <c:pt idx="5">
                  <c:v>ASE_002</c:v>
                </c:pt>
                <c:pt idx="6">
                  <c:v>ASE_006</c:v>
                </c:pt>
                <c:pt idx="7">
                  <c:v>ASE_010</c:v>
                </c:pt>
                <c:pt idx="8">
                  <c:v>ASE_007</c:v>
                </c:pt>
                <c:pt idx="9">
                  <c:v>ASE_003</c:v>
                </c:pt>
              </c:strCache>
            </c:strRef>
          </c:cat>
          <c:val>
            <c:numRef>
              <c:f>'punto 1 y 2'!$B$36:$B$46</c:f>
              <c:numCache>
                <c:formatCode>_-[$$-240A]\ * #,##0.00_-;\-[$$-240A]\ * #,##0.00_-;_-[$$-240A]\ * "-"??_-;_-@_-</c:formatCode>
                <c:ptCount val="10"/>
                <c:pt idx="0">
                  <c:v>11436467</c:v>
                </c:pt>
                <c:pt idx="1">
                  <c:v>10806007</c:v>
                </c:pt>
                <c:pt idx="2">
                  <c:v>7913618</c:v>
                </c:pt>
                <c:pt idx="3">
                  <c:v>5566259</c:v>
                </c:pt>
                <c:pt idx="4">
                  <c:v>2744784</c:v>
                </c:pt>
                <c:pt idx="5">
                  <c:v>2320328</c:v>
                </c:pt>
                <c:pt idx="6">
                  <c:v>1630097</c:v>
                </c:pt>
                <c:pt idx="7">
                  <c:v>1573302</c:v>
                </c:pt>
                <c:pt idx="8">
                  <c:v>828791</c:v>
                </c:pt>
                <c:pt idx="9">
                  <c:v>778816</c:v>
                </c:pt>
              </c:numCache>
            </c:numRef>
          </c:val>
          <c:extLst>
            <c:ext xmlns:c16="http://schemas.microsoft.com/office/drawing/2014/chart" uri="{C3380CC4-5D6E-409C-BE32-E72D297353CC}">
              <c16:uniqueId val="{00000000-0331-44FC-8AF6-73DD51DC2E27}"/>
            </c:ext>
          </c:extLst>
        </c:ser>
        <c:ser>
          <c:idx val="1"/>
          <c:order val="1"/>
          <c:tx>
            <c:strRef>
              <c:f>'punto 1 y 2'!$C$35</c:f>
              <c:strCache>
                <c:ptCount val="1"/>
                <c:pt idx="0">
                  <c:v>Suma de saldo_mora_30_2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'punto 1 y 2'!$A$36:$A$46</c:f>
              <c:strCache>
                <c:ptCount val="10"/>
                <c:pt idx="0">
                  <c:v>ASE_004</c:v>
                </c:pt>
                <c:pt idx="1">
                  <c:v>ASE_005</c:v>
                </c:pt>
                <c:pt idx="2">
                  <c:v>ASE_008</c:v>
                </c:pt>
                <c:pt idx="3">
                  <c:v>ASE_001</c:v>
                </c:pt>
                <c:pt idx="4">
                  <c:v>ASE_009</c:v>
                </c:pt>
                <c:pt idx="5">
                  <c:v>ASE_002</c:v>
                </c:pt>
                <c:pt idx="6">
                  <c:v>ASE_006</c:v>
                </c:pt>
                <c:pt idx="7">
                  <c:v>ASE_010</c:v>
                </c:pt>
                <c:pt idx="8">
                  <c:v>ASE_007</c:v>
                </c:pt>
                <c:pt idx="9">
                  <c:v>ASE_003</c:v>
                </c:pt>
              </c:strCache>
            </c:strRef>
          </c:cat>
          <c:val>
            <c:numRef>
              <c:f>'punto 1 y 2'!$C$36:$C$46</c:f>
              <c:numCache>
                <c:formatCode>0.00%</c:formatCode>
                <c:ptCount val="10"/>
                <c:pt idx="0">
                  <c:v>0.25080813568543275</c:v>
                </c:pt>
                <c:pt idx="1">
                  <c:v>0.23698179427910179</c:v>
                </c:pt>
                <c:pt idx="2">
                  <c:v>0.17355008125382454</c:v>
                </c:pt>
                <c:pt idx="3">
                  <c:v>0.12207118181972294</c:v>
                </c:pt>
                <c:pt idx="4">
                  <c:v>6.0194652588006846E-2</c:v>
                </c:pt>
                <c:pt idx="5">
                  <c:v>5.0886094443214749E-2</c:v>
                </c:pt>
                <c:pt idx="6">
                  <c:v>3.5748941483101107E-2</c:v>
                </c:pt>
                <c:pt idx="7">
                  <c:v>3.4503395278468671E-2</c:v>
                </c:pt>
                <c:pt idx="8">
                  <c:v>1.8175851474311562E-2</c:v>
                </c:pt>
                <c:pt idx="9">
                  <c:v>1.7079871694815018E-2</c:v>
                </c:pt>
              </c:numCache>
            </c:numRef>
          </c:val>
          <c:extLst>
            <c:ext xmlns:c16="http://schemas.microsoft.com/office/drawing/2014/chart" uri="{C3380CC4-5D6E-409C-BE32-E72D297353CC}">
              <c16:uniqueId val="{00000001-0331-44FC-8AF6-73DD51DC2E27}"/>
            </c:ext>
          </c:extLst>
        </c:ser>
        <c:dLbls>
          <c:showLegendKey val="0"/>
          <c:showVal val="0"/>
          <c:showCatName val="0"/>
          <c:showSerName val="0"/>
          <c:showPercent val="0"/>
          <c:showBubbleSize val="0"/>
        </c:dLbls>
        <c:gapWidth val="115"/>
        <c:overlap val="-20"/>
        <c:axId val="290912671"/>
        <c:axId val="1919710799"/>
      </c:barChart>
      <c:catAx>
        <c:axId val="290912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9710799"/>
        <c:crosses val="autoZero"/>
        <c:auto val="1"/>
        <c:lblAlgn val="ctr"/>
        <c:lblOffset val="100"/>
        <c:noMultiLvlLbl val="0"/>
      </c:catAx>
      <c:valAx>
        <c:axId val="1919710799"/>
        <c:scaling>
          <c:orientation val="minMax"/>
        </c:scaling>
        <c:delete val="0"/>
        <c:axPos val="b"/>
        <c:majorGridlines>
          <c:spPr>
            <a:ln w="9525" cap="flat" cmpd="sng" algn="ctr">
              <a:solidFill>
                <a:schemeClr val="tx1">
                  <a:lumMod val="15000"/>
                  <a:lumOff val="85000"/>
                </a:schemeClr>
              </a:solidFill>
              <a:round/>
            </a:ln>
            <a:effectLst/>
          </c:spPr>
        </c:majorGridlines>
        <c:numFmt formatCode="_-[$$-240A]\ * #,##0.00_-;\-[$$-240A]\ * #,##0.0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091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[clientes_ficticio_1.xlsx]punto 3-PUNTO 4!TablaDinámica3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'punto 3-PUNTO 4'!$B$3:$B$4</c:f>
              <c:strCache>
                <c:ptCount val="1"/>
                <c:pt idx="0">
                  <c:v>Agroindustria</c:v>
                </c:pt>
              </c:strCache>
            </c:strRef>
          </c:tx>
          <c:spPr>
            <a:solidFill>
              <a:schemeClr val="accent1"/>
            </a:solidFill>
            <a:ln>
              <a:noFill/>
            </a:ln>
            <a:effectLst/>
          </c:spPr>
          <c:invertIfNegative val="0"/>
          <c:cat>
            <c:strRef>
              <c:f>'punto 3-PUNTO 4'!$A$5:$A$9</c:f>
              <c:strCache>
                <c:ptCount val="4"/>
                <c:pt idx="0">
                  <c:v>Línea Emprendimiento</c:v>
                </c:pt>
                <c:pt idx="1">
                  <c:v>Crédito Rotativo</c:v>
                </c:pt>
                <c:pt idx="2">
                  <c:v>Crédito Grupal Solidario</c:v>
                </c:pt>
                <c:pt idx="3">
                  <c:v>Microcrédito Individual</c:v>
                </c:pt>
              </c:strCache>
            </c:strRef>
          </c:cat>
          <c:val>
            <c:numRef>
              <c:f>'punto 3-PUNTO 4'!$B$5:$B$9</c:f>
              <c:numCache>
                <c:formatCode>_-[$$-240A]\ * #,##0.00_-;\-[$$-240A]\ * #,##0.00_-;_-[$$-240A]\ * "-"??_-;_-@_-</c:formatCode>
                <c:ptCount val="4"/>
                <c:pt idx="0">
                  <c:v>20759418</c:v>
                </c:pt>
                <c:pt idx="1">
                  <c:v>20617865</c:v>
                </c:pt>
                <c:pt idx="2">
                  <c:v>17637042</c:v>
                </c:pt>
                <c:pt idx="3">
                  <c:v>18993716</c:v>
                </c:pt>
              </c:numCache>
            </c:numRef>
          </c:val>
          <c:extLst>
            <c:ext xmlns:c16="http://schemas.microsoft.com/office/drawing/2014/chart" uri="{C3380CC4-5D6E-409C-BE32-E72D297353CC}">
              <c16:uniqueId val="{00000000-E243-4590-A851-6D0096D58371}"/>
            </c:ext>
          </c:extLst>
        </c:ser>
        <c:ser>
          <c:idx val="1"/>
          <c:order val="1"/>
          <c:tx>
            <c:strRef>
              <c:f>'punto 3-PUNTO 4'!$C$3:$C$4</c:f>
              <c:strCache>
                <c:ptCount val="1"/>
                <c:pt idx="0">
                  <c:v>Alimentos</c:v>
                </c:pt>
              </c:strCache>
            </c:strRef>
          </c:tx>
          <c:spPr>
            <a:solidFill>
              <a:schemeClr val="accent2"/>
            </a:solidFill>
            <a:ln>
              <a:noFill/>
            </a:ln>
            <a:effectLst/>
          </c:spPr>
          <c:invertIfNegative val="0"/>
          <c:cat>
            <c:strRef>
              <c:f>'punto 3-PUNTO 4'!$A$5:$A$9</c:f>
              <c:strCache>
                <c:ptCount val="4"/>
                <c:pt idx="0">
                  <c:v>Línea Emprendimiento</c:v>
                </c:pt>
                <c:pt idx="1">
                  <c:v>Crédito Rotativo</c:v>
                </c:pt>
                <c:pt idx="2">
                  <c:v>Crédito Grupal Solidario</c:v>
                </c:pt>
                <c:pt idx="3">
                  <c:v>Microcrédito Individual</c:v>
                </c:pt>
              </c:strCache>
            </c:strRef>
          </c:cat>
          <c:val>
            <c:numRef>
              <c:f>'punto 3-PUNTO 4'!$C$5:$C$9</c:f>
              <c:numCache>
                <c:formatCode>_-[$$-240A]\ * #,##0.00_-;\-[$$-240A]\ * #,##0.00_-;_-[$$-240A]\ * "-"??_-;_-@_-</c:formatCode>
                <c:ptCount val="4"/>
                <c:pt idx="0">
                  <c:v>19013820</c:v>
                </c:pt>
                <c:pt idx="1">
                  <c:v>25997527</c:v>
                </c:pt>
                <c:pt idx="2">
                  <c:v>20699823</c:v>
                </c:pt>
                <c:pt idx="3">
                  <c:v>12581916</c:v>
                </c:pt>
              </c:numCache>
            </c:numRef>
          </c:val>
          <c:extLst>
            <c:ext xmlns:c16="http://schemas.microsoft.com/office/drawing/2014/chart" uri="{C3380CC4-5D6E-409C-BE32-E72D297353CC}">
              <c16:uniqueId val="{00000001-E243-4590-A851-6D0096D58371}"/>
            </c:ext>
          </c:extLst>
        </c:ser>
        <c:ser>
          <c:idx val="2"/>
          <c:order val="2"/>
          <c:tx>
            <c:strRef>
              <c:f>'punto 3-PUNTO 4'!$D$3:$D$4</c:f>
              <c:strCache>
                <c:ptCount val="1"/>
                <c:pt idx="0">
                  <c:v>Comercio</c:v>
                </c:pt>
              </c:strCache>
            </c:strRef>
          </c:tx>
          <c:spPr>
            <a:solidFill>
              <a:schemeClr val="accent3"/>
            </a:solidFill>
            <a:ln>
              <a:noFill/>
            </a:ln>
            <a:effectLst/>
          </c:spPr>
          <c:invertIfNegative val="0"/>
          <c:cat>
            <c:strRef>
              <c:f>'punto 3-PUNTO 4'!$A$5:$A$9</c:f>
              <c:strCache>
                <c:ptCount val="4"/>
                <c:pt idx="0">
                  <c:v>Línea Emprendimiento</c:v>
                </c:pt>
                <c:pt idx="1">
                  <c:v>Crédito Rotativo</c:v>
                </c:pt>
                <c:pt idx="2">
                  <c:v>Crédito Grupal Solidario</c:v>
                </c:pt>
                <c:pt idx="3">
                  <c:v>Microcrédito Individual</c:v>
                </c:pt>
              </c:strCache>
            </c:strRef>
          </c:cat>
          <c:val>
            <c:numRef>
              <c:f>'punto 3-PUNTO 4'!$D$5:$D$9</c:f>
              <c:numCache>
                <c:formatCode>_-[$$-240A]\ * #,##0.00_-;\-[$$-240A]\ * #,##0.00_-;_-[$$-240A]\ * "-"??_-;_-@_-</c:formatCode>
                <c:ptCount val="4"/>
                <c:pt idx="0">
                  <c:v>23420482</c:v>
                </c:pt>
                <c:pt idx="1">
                  <c:v>26595605</c:v>
                </c:pt>
                <c:pt idx="2">
                  <c:v>15621491</c:v>
                </c:pt>
                <c:pt idx="3">
                  <c:v>20162009</c:v>
                </c:pt>
              </c:numCache>
            </c:numRef>
          </c:val>
          <c:extLst>
            <c:ext xmlns:c16="http://schemas.microsoft.com/office/drawing/2014/chart" uri="{C3380CC4-5D6E-409C-BE32-E72D297353CC}">
              <c16:uniqueId val="{00000002-E243-4590-A851-6D0096D58371}"/>
            </c:ext>
          </c:extLst>
        </c:ser>
        <c:ser>
          <c:idx val="3"/>
          <c:order val="3"/>
          <c:tx>
            <c:strRef>
              <c:f>'punto 3-PUNTO 4'!$E$3:$E$4</c:f>
              <c:strCache>
                <c:ptCount val="1"/>
                <c:pt idx="0">
                  <c:v>Manufactura</c:v>
                </c:pt>
              </c:strCache>
            </c:strRef>
          </c:tx>
          <c:spPr>
            <a:solidFill>
              <a:schemeClr val="accent4"/>
            </a:solidFill>
            <a:ln>
              <a:noFill/>
            </a:ln>
            <a:effectLst/>
          </c:spPr>
          <c:invertIfNegative val="0"/>
          <c:cat>
            <c:strRef>
              <c:f>'punto 3-PUNTO 4'!$A$5:$A$9</c:f>
              <c:strCache>
                <c:ptCount val="4"/>
                <c:pt idx="0">
                  <c:v>Línea Emprendimiento</c:v>
                </c:pt>
                <c:pt idx="1">
                  <c:v>Crédito Rotativo</c:v>
                </c:pt>
                <c:pt idx="2">
                  <c:v>Crédito Grupal Solidario</c:v>
                </c:pt>
                <c:pt idx="3">
                  <c:v>Microcrédito Individual</c:v>
                </c:pt>
              </c:strCache>
            </c:strRef>
          </c:cat>
          <c:val>
            <c:numRef>
              <c:f>'punto 3-PUNTO 4'!$E$5:$E$9</c:f>
              <c:numCache>
                <c:formatCode>_-[$$-240A]\ * #,##0.00_-;\-[$$-240A]\ * #,##0.00_-;_-[$$-240A]\ * "-"??_-;_-@_-</c:formatCode>
                <c:ptCount val="4"/>
                <c:pt idx="0">
                  <c:v>23566452</c:v>
                </c:pt>
                <c:pt idx="1">
                  <c:v>15536576</c:v>
                </c:pt>
                <c:pt idx="2">
                  <c:v>24609204</c:v>
                </c:pt>
                <c:pt idx="3">
                  <c:v>20454972</c:v>
                </c:pt>
              </c:numCache>
            </c:numRef>
          </c:val>
          <c:extLst>
            <c:ext xmlns:c16="http://schemas.microsoft.com/office/drawing/2014/chart" uri="{C3380CC4-5D6E-409C-BE32-E72D297353CC}">
              <c16:uniqueId val="{00000003-E243-4590-A851-6D0096D58371}"/>
            </c:ext>
          </c:extLst>
        </c:ser>
        <c:ser>
          <c:idx val="4"/>
          <c:order val="4"/>
          <c:tx>
            <c:strRef>
              <c:f>'punto 3-PUNTO 4'!$F$3:$F$4</c:f>
              <c:strCache>
                <c:ptCount val="1"/>
                <c:pt idx="0">
                  <c:v>Servicios</c:v>
                </c:pt>
              </c:strCache>
            </c:strRef>
          </c:tx>
          <c:spPr>
            <a:solidFill>
              <a:schemeClr val="accent5"/>
            </a:solidFill>
            <a:ln>
              <a:noFill/>
            </a:ln>
            <a:effectLst/>
          </c:spPr>
          <c:invertIfNegative val="0"/>
          <c:cat>
            <c:strRef>
              <c:f>'punto 3-PUNTO 4'!$A$5:$A$9</c:f>
              <c:strCache>
                <c:ptCount val="4"/>
                <c:pt idx="0">
                  <c:v>Línea Emprendimiento</c:v>
                </c:pt>
                <c:pt idx="1">
                  <c:v>Crédito Rotativo</c:v>
                </c:pt>
                <c:pt idx="2">
                  <c:v>Crédito Grupal Solidario</c:v>
                </c:pt>
                <c:pt idx="3">
                  <c:v>Microcrédito Individual</c:v>
                </c:pt>
              </c:strCache>
            </c:strRef>
          </c:cat>
          <c:val>
            <c:numRef>
              <c:f>'punto 3-PUNTO 4'!$F$5:$F$9</c:f>
              <c:numCache>
                <c:formatCode>_-[$$-240A]\ * #,##0.00_-;\-[$$-240A]\ * #,##0.00_-;_-[$$-240A]\ * "-"??_-;_-@_-</c:formatCode>
                <c:ptCount val="4"/>
                <c:pt idx="0">
                  <c:v>23855643</c:v>
                </c:pt>
                <c:pt idx="1">
                  <c:v>21166954</c:v>
                </c:pt>
                <c:pt idx="2">
                  <c:v>26865619</c:v>
                </c:pt>
                <c:pt idx="3">
                  <c:v>14496584</c:v>
                </c:pt>
              </c:numCache>
            </c:numRef>
          </c:val>
          <c:extLst>
            <c:ext xmlns:c16="http://schemas.microsoft.com/office/drawing/2014/chart" uri="{C3380CC4-5D6E-409C-BE32-E72D297353CC}">
              <c16:uniqueId val="{00000004-E243-4590-A851-6D0096D58371}"/>
            </c:ext>
          </c:extLst>
        </c:ser>
        <c:dLbls>
          <c:showLegendKey val="0"/>
          <c:showVal val="0"/>
          <c:showCatName val="0"/>
          <c:showSerName val="0"/>
          <c:showPercent val="0"/>
          <c:showBubbleSize val="0"/>
        </c:dLbls>
        <c:gapWidth val="150"/>
        <c:overlap val="100"/>
        <c:axId val="425486431"/>
        <c:axId val="1927657071"/>
      </c:barChart>
      <c:catAx>
        <c:axId val="42548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27657071"/>
        <c:crosses val="autoZero"/>
        <c:auto val="1"/>
        <c:lblAlgn val="ctr"/>
        <c:lblOffset val="100"/>
        <c:noMultiLvlLbl val="0"/>
      </c:catAx>
      <c:valAx>
        <c:axId val="1927657071"/>
        <c:scaling>
          <c:orientation val="minMax"/>
        </c:scaling>
        <c:delete val="0"/>
        <c:axPos val="b"/>
        <c:majorGridlines>
          <c:spPr>
            <a:ln w="9525" cap="flat" cmpd="sng" algn="ctr">
              <a:solidFill>
                <a:schemeClr val="tx1">
                  <a:lumMod val="15000"/>
                  <a:lumOff val="85000"/>
                </a:schemeClr>
              </a:solidFill>
              <a:round/>
            </a:ln>
            <a:effectLst/>
          </c:spPr>
        </c:majorGridlines>
        <c:numFmt formatCode="_-[$$-240A]\ * #,##0.00_-;\-[$$-240A]\ * #,##0.0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2548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483869</xdr:colOff>
      <xdr:row>1</xdr:row>
      <xdr:rowOff>47625</xdr:rowOff>
    </xdr:from>
    <xdr:to>
      <xdr:col>15</xdr:col>
      <xdr:colOff>127634</xdr:colOff>
      <xdr:row>16</xdr:row>
      <xdr:rowOff>15240</xdr:rowOff>
    </xdr:to>
    <xdr:graphicFrame macro="">
      <xdr:nvGraphicFramePr>
        <xdr:cNvPr id="2" name="Gráfico 1">
          <a:extLst>
            <a:ext uri="{FF2B5EF4-FFF2-40B4-BE49-F238E27FC236}">
              <a16:creationId xmlns:a16="http://schemas.microsoft.com/office/drawing/2014/main" id="{A8969762-D6A8-4388-993D-B257357B9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312421</xdr:colOff>
      <xdr:row>16</xdr:row>
      <xdr:rowOff>100965</xdr:rowOff>
    </xdr:from>
    <xdr:to>
      <xdr:col>9</xdr:col>
      <xdr:colOff>600075</xdr:colOff>
      <xdr:row>23</xdr:row>
      <xdr:rowOff>95250</xdr:rowOff>
    </xdr:to>
    <xdr:sp macro="" textlink="">
      <xdr:nvSpPr>
        <xdr:cNvPr id="3" name="CuadroTexto 2">
          <a:extLst>
            <a:ext uri="{FF2B5EF4-FFF2-40B4-BE49-F238E27FC236}">
              <a16:creationId xmlns:a16="http://schemas.microsoft.com/office/drawing/2014/main" id="{A6D62834-025D-4681-BAC2-6DABD5F6C29A}"/>
            </a:ext>
          </a:extLst>
        </xdr:cNvPr>
        <xdr:cNvSpPr txBox="1"/>
      </xdr:nvSpPr>
      <xdr:spPr>
        <a:xfrm>
          <a:off x="312421" y="2996565"/>
          <a:ext cx="11250929" cy="126111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solidFill>
                <a:schemeClr val="bg1"/>
              </a:solidFill>
            </a:rPr>
            <a:t>Cartera y mora por ciudad:</a:t>
          </a:r>
          <a:r>
            <a:rPr lang="es-ES" sz="1600">
              <a:solidFill>
                <a:schemeClr val="bg1"/>
              </a:solidFill>
            </a:rPr>
            <a:t> Cali concentra el mayor riesgo, con la tasa de mora más alta (23%) y el (29%) de toda la mora del negocio. Itagüí, pese a tener una cartera pequeña, tiene la segunda tasa más alta (18%), mientras que Rionegro y Soacha muestran el mejor comportamiento (5-7% de mora</a:t>
          </a:r>
        </a:p>
      </xdr:txBody>
    </xdr:sp>
    <xdr:clientData/>
  </xdr:twoCellAnchor>
  <xdr:twoCellAnchor>
    <xdr:from>
      <xdr:col>3</xdr:col>
      <xdr:colOff>360044</xdr:colOff>
      <xdr:row>33</xdr:row>
      <xdr:rowOff>131445</xdr:rowOff>
    </xdr:from>
    <xdr:to>
      <xdr:col>7</xdr:col>
      <xdr:colOff>693420</xdr:colOff>
      <xdr:row>45</xdr:row>
      <xdr:rowOff>174307</xdr:rowOff>
    </xdr:to>
    <xdr:graphicFrame macro="">
      <xdr:nvGraphicFramePr>
        <xdr:cNvPr id="4" name="Gráfico 3">
          <a:extLst>
            <a:ext uri="{FF2B5EF4-FFF2-40B4-BE49-F238E27FC236}">
              <a16:creationId xmlns:a16="http://schemas.microsoft.com/office/drawing/2014/main" id="{DF81B9F7-62D7-4C38-9143-C5FE7F494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361950</xdr:colOff>
      <xdr:row>47</xdr:row>
      <xdr:rowOff>17145</xdr:rowOff>
    </xdr:from>
    <xdr:to>
      <xdr:col>4</xdr:col>
      <xdr:colOff>1447800</xdr:colOff>
      <xdr:row>54</xdr:row>
      <xdr:rowOff>24765</xdr:rowOff>
    </xdr:to>
    <xdr:sp macro="" textlink="">
      <xdr:nvSpPr>
        <xdr:cNvPr id="5" name="CuadroTexto 4">
          <a:extLst>
            <a:ext uri="{FF2B5EF4-FFF2-40B4-BE49-F238E27FC236}">
              <a16:creationId xmlns:a16="http://schemas.microsoft.com/office/drawing/2014/main" id="{C0BBD385-C263-457D-8B5E-9D4BBC522273}"/>
            </a:ext>
          </a:extLst>
        </xdr:cNvPr>
        <xdr:cNvSpPr txBox="1"/>
      </xdr:nvSpPr>
      <xdr:spPr>
        <a:xfrm>
          <a:off x="358140" y="8526780"/>
          <a:ext cx="3594735" cy="126682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400" b="1">
              <a:solidFill>
                <a:schemeClr val="bg1"/>
              </a:solidFill>
            </a:rPr>
            <a:t>Top 5 asesores con más mora:</a:t>
          </a:r>
          <a:r>
            <a:rPr lang="es-ES" sz="1400">
              <a:solidFill>
                <a:schemeClr val="bg1"/>
              </a:solidFill>
            </a:rPr>
            <a:t> ASE_004 ($11.4M) y ASE_005 ($10.8M) concentran el 49% de toda la mora, mientras ASE_003 y ASE_007 casi no tienen (menos del 2% cada uno). La mora está más ligada a la gestión individual del asesor que a la </a:t>
          </a:r>
          <a:r>
            <a:rPr lang="es-ES" sz="1800">
              <a:solidFill>
                <a:schemeClr val="bg1"/>
              </a:solidFill>
            </a:rPr>
            <a:t>ciudad</a:t>
          </a:r>
          <a:r>
            <a:rPr lang="es-ES" sz="1400">
              <a:solidFill>
                <a:schemeClr val="bg1"/>
              </a:solidFill>
            </a:rPr>
            <a:t>, por lo que se recomienda priorizar auditoría y plan de cobro con estos dos asesores.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10</xdr:row>
      <xdr:rowOff>9525</xdr:rowOff>
    </xdr:from>
    <xdr:to>
      <xdr:col>6</xdr:col>
      <xdr:colOff>962025</xdr:colOff>
      <xdr:row>17</xdr:row>
      <xdr:rowOff>5715</xdr:rowOff>
    </xdr:to>
    <xdr:sp macro="" textlink="">
      <xdr:nvSpPr>
        <xdr:cNvPr id="2" name="CuadroTexto 1">
          <a:extLst>
            <a:ext uri="{FF2B5EF4-FFF2-40B4-BE49-F238E27FC236}">
              <a16:creationId xmlns:a16="http://schemas.microsoft.com/office/drawing/2014/main" id="{BFFA8C8A-7356-42EF-8962-44590E217FAF}"/>
            </a:ext>
          </a:extLst>
        </xdr:cNvPr>
        <xdr:cNvSpPr txBox="1"/>
      </xdr:nvSpPr>
      <xdr:spPr>
        <a:xfrm>
          <a:off x="129540" y="1821180"/>
          <a:ext cx="9625965" cy="1263015"/>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a:solidFill>
                <a:schemeClr val="bg1"/>
              </a:solidFill>
            </a:rPr>
            <a:t>la cartera está bien diversificada, sin concentración crítica en ningún producto o sector (rangos entre $78M y $110M). El cruce más relevante es Comercio + Crédito Rotativo ($26.6M), mientras que Alimentos + Microcrédito Individual es notablemente bajo ($12.6M) frente a los demás productos en ese sector.</a:t>
          </a:r>
          <a:r>
            <a:rPr lang="es-ES" sz="1200" u="sng">
              <a:solidFill>
                <a:schemeClr val="bg1"/>
              </a:solidFill>
            </a:rPr>
            <a:t>saldo actual de la deuda : mucha cantidad de dinero prestado </a:t>
          </a:r>
        </a:p>
      </xdr:txBody>
    </xdr:sp>
    <xdr:clientData/>
  </xdr:twoCellAnchor>
  <xdr:twoCellAnchor>
    <xdr:from>
      <xdr:col>7</xdr:col>
      <xdr:colOff>487680</xdr:colOff>
      <xdr:row>1</xdr:row>
      <xdr:rowOff>28575</xdr:rowOff>
    </xdr:from>
    <xdr:to>
      <xdr:col>15</xdr:col>
      <xdr:colOff>272415</xdr:colOff>
      <xdr:row>16</xdr:row>
      <xdr:rowOff>34290</xdr:rowOff>
    </xdr:to>
    <xdr:graphicFrame macro="">
      <xdr:nvGraphicFramePr>
        <xdr:cNvPr id="3" name="Gráfico 2">
          <a:extLst>
            <a:ext uri="{FF2B5EF4-FFF2-40B4-BE49-F238E27FC236}">
              <a16:creationId xmlns:a16="http://schemas.microsoft.com/office/drawing/2014/main" id="{3516E3E9-011E-44EC-AE1D-DCDEC9BB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47</xdr:row>
      <xdr:rowOff>129540</xdr:rowOff>
    </xdr:from>
    <xdr:to>
      <xdr:col>7</xdr:col>
      <xdr:colOff>1905</xdr:colOff>
      <xdr:row>54</xdr:row>
      <xdr:rowOff>116205</xdr:rowOff>
    </xdr:to>
    <xdr:sp macro="" textlink="">
      <xdr:nvSpPr>
        <xdr:cNvPr id="4" name="CuadroTexto 3">
          <a:extLst>
            <a:ext uri="{FF2B5EF4-FFF2-40B4-BE49-F238E27FC236}">
              <a16:creationId xmlns:a16="http://schemas.microsoft.com/office/drawing/2014/main" id="{C7D54B8F-6444-4065-809E-0AC6C63E56CE}"/>
            </a:ext>
          </a:extLst>
        </xdr:cNvPr>
        <xdr:cNvSpPr txBox="1"/>
      </xdr:nvSpPr>
      <xdr:spPr>
        <a:xfrm>
          <a:off x="114300" y="8639175"/>
          <a:ext cx="10184130" cy="124968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ES" sz="1600" b="0">
              <a:solidFill>
                <a:schemeClr val="bg1"/>
              </a:solidFill>
              <a:latin typeface="+mn-lt"/>
              <a:ea typeface="+mn-ea"/>
              <a:cs typeface="+mn-cs"/>
            </a:rPr>
            <a:t>Desalineación geográfica asesor-cliente: el 93% de los clientes (297 de 320) tiene un asesor asignado en una ciudad distinta a la suya, evidenciando que la asignación actual no considera cercanía geográfica. Esto puede impactar la calidad del servicio y el seguimiento de cobro, y refuerza la necesidad de una reasignación basada en proximidad.</a:t>
          </a:r>
        </a:p>
      </xdr:txBody>
    </xdr:sp>
    <xdr:clientData/>
  </xdr:twoCellAnchor>
  <xdr:twoCellAnchor>
    <xdr:from>
      <xdr:col>0</xdr:col>
      <xdr:colOff>72390</xdr:colOff>
      <xdr:row>27</xdr:row>
      <xdr:rowOff>171449</xdr:rowOff>
    </xdr:from>
    <xdr:to>
      <xdr:col>7</xdr:col>
      <xdr:colOff>676275</xdr:colOff>
      <xdr:row>35</xdr:row>
      <xdr:rowOff>0</xdr:rowOff>
    </xdr:to>
    <xdr:sp macro="" textlink="">
      <xdr:nvSpPr>
        <xdr:cNvPr id="5" name="CuadroTexto 4">
          <a:extLst>
            <a:ext uri="{FF2B5EF4-FFF2-40B4-BE49-F238E27FC236}">
              <a16:creationId xmlns:a16="http://schemas.microsoft.com/office/drawing/2014/main" id="{3A670212-5B6A-4FD7-977E-0F2385435ED0}"/>
            </a:ext>
          </a:extLst>
        </xdr:cNvPr>
        <xdr:cNvSpPr txBox="1"/>
      </xdr:nvSpPr>
      <xdr:spPr>
        <a:xfrm>
          <a:off x="72390" y="5061584"/>
          <a:ext cx="10898505" cy="1272541"/>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b="1">
              <a:solidFill>
                <a:schemeClr val="bg1"/>
              </a:solidFill>
            </a:rPr>
            <a:t>**</a:t>
          </a:r>
          <a:r>
            <a:rPr lang="es-ES" sz="1100" b="1">
              <a:solidFill>
                <a:schemeClr val="bg1"/>
              </a:solidFill>
            </a:rPr>
            <a:t>Mora por producto de crédito:** el Microcrédito Individual presenta</a:t>
          </a:r>
        </a:p>
        <a:p>
          <a:pPr algn="l"/>
          <a:r>
            <a:rPr lang="es-ES" sz="1100" b="1">
              <a:solidFill>
                <a:schemeClr val="bg1"/>
              </a:solidFill>
            </a:rPr>
            <a:t>la tasa de mora más alta (22%), 5.5 veces superior al Crédito Rotativo</a:t>
          </a:r>
        </a:p>
        <a:p>
          <a:pPr algn="l"/>
          <a:r>
            <a:rPr lang="es-ES" sz="1100" b="1">
              <a:solidFill>
                <a:schemeClr val="bg1"/>
              </a:solidFill>
            </a:rPr>
            <a:t>(4%, el producto más sano). Esto sugiere revisar las condiciones de</a:t>
          </a:r>
          <a:r>
            <a:rPr lang="es-ES" sz="1100" b="1" baseline="0">
              <a:solidFill>
                <a:schemeClr val="bg1"/>
              </a:solidFill>
            </a:rPr>
            <a:t> </a:t>
          </a:r>
          <a:r>
            <a:rPr lang="es-ES" sz="1100" b="1">
              <a:solidFill>
                <a:schemeClr val="bg1"/>
              </a:solidFill>
            </a:rPr>
            <a:t>originación del Microcrédito Individual (montos, plazos, perfil de</a:t>
          </a:r>
        </a:p>
        <a:p>
          <a:pPr algn="l"/>
          <a:r>
            <a:rPr lang="es-ES" sz="1100" b="1">
              <a:solidFill>
                <a:schemeClr val="bg1"/>
              </a:solidFill>
            </a:rPr>
            <a:t>cliente objetivo) o reforzar el seguimiento de cobro específicamente</a:t>
          </a:r>
        </a:p>
        <a:p>
          <a:pPr algn="l"/>
          <a:r>
            <a:rPr lang="es-ES" sz="1100" b="1">
              <a:solidFill>
                <a:schemeClr val="bg1"/>
              </a:solidFill>
            </a:rPr>
            <a:t>en ese producto</a:t>
          </a:r>
        </a:p>
      </xdr:txBody>
    </xdr:sp>
    <xdr:clientData/>
  </xdr:twoCellAnchor>
  <xdr:twoCellAnchor>
    <xdr:from>
      <xdr:col>0</xdr:col>
      <xdr:colOff>81915</xdr:colOff>
      <xdr:row>36</xdr:row>
      <xdr:rowOff>47625</xdr:rowOff>
    </xdr:from>
    <xdr:to>
      <xdr:col>6</xdr:col>
      <xdr:colOff>1000125</xdr:colOff>
      <xdr:row>40</xdr:row>
      <xdr:rowOff>106681</xdr:rowOff>
    </xdr:to>
    <xdr:sp macro="" textlink="">
      <xdr:nvSpPr>
        <xdr:cNvPr id="6" name="CuadroTexto 5">
          <a:extLst>
            <a:ext uri="{FF2B5EF4-FFF2-40B4-BE49-F238E27FC236}">
              <a16:creationId xmlns:a16="http://schemas.microsoft.com/office/drawing/2014/main" id="{D1EF53CA-A6E2-4FB2-8862-6B466F7E7970}"/>
            </a:ext>
          </a:extLst>
        </xdr:cNvPr>
        <xdr:cNvSpPr txBox="1"/>
      </xdr:nvSpPr>
      <xdr:spPr>
        <a:xfrm>
          <a:off x="81915" y="6631305"/>
          <a:ext cx="9688830" cy="790576"/>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solidFill>
                <a:schemeClr val="bg1"/>
              </a:solidFill>
            </a:rPr>
            <a:t>se recomienda además profundizar este análisis desagregando la mora por producto </a:t>
          </a:r>
          <a:r>
            <a:rPr lang="es-ES" sz="1050">
              <a:solidFill>
                <a:schemeClr val="bg1"/>
              </a:solidFill>
              <a:effectLst/>
              <a:latin typeface="+mn-lt"/>
              <a:ea typeface="+mn-ea"/>
              <a:cs typeface="+mn-cs"/>
            </a:rPr>
            <a:t>**</a:t>
          </a:r>
          <a:r>
            <a:rPr lang="es-ES" sz="1400">
              <a:solidFill>
                <a:schemeClr val="bg1"/>
              </a:solidFill>
            </a:rPr>
            <a:t>a nivel de cada ciudad</a:t>
          </a:r>
          <a:r>
            <a:rPr lang="es-ES" sz="1050">
              <a:solidFill>
                <a:schemeClr val="bg1"/>
              </a:solidFill>
              <a:effectLst/>
              <a:latin typeface="+mn-lt"/>
              <a:ea typeface="+mn-ea"/>
              <a:cs typeface="+mn-cs"/>
            </a:rPr>
            <a:t>**</a:t>
          </a:r>
          <a:r>
            <a:rPr lang="es-ES" sz="1400">
              <a:solidFill>
                <a:schemeClr val="bg1"/>
              </a:solidFill>
            </a:rPr>
            <a:t> (no solo el agregado nacional), ya que el comportamiento de un mismo producto puede variar significativamente según la zona geográfica.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66675</xdr:colOff>
      <xdr:row>23</xdr:row>
      <xdr:rowOff>28575</xdr:rowOff>
    </xdr:from>
    <xdr:to>
      <xdr:col>6</xdr:col>
      <xdr:colOff>862965</xdr:colOff>
      <xdr:row>29</xdr:row>
      <xdr:rowOff>121920</xdr:rowOff>
    </xdr:to>
    <xdr:sp macro="" textlink="">
      <xdr:nvSpPr>
        <xdr:cNvPr id="2" name="CuadroTexto 1">
          <a:extLst>
            <a:ext uri="{FF2B5EF4-FFF2-40B4-BE49-F238E27FC236}">
              <a16:creationId xmlns:a16="http://schemas.microsoft.com/office/drawing/2014/main" id="{290319E2-7DFD-45E3-ACF5-0E5D83D5B745}"/>
            </a:ext>
          </a:extLst>
        </xdr:cNvPr>
        <xdr:cNvSpPr txBox="1"/>
      </xdr:nvSpPr>
      <xdr:spPr>
        <a:xfrm>
          <a:off x="855345" y="4065270"/>
          <a:ext cx="5385435" cy="1183005"/>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solidFill>
                <a:schemeClr val="bg1"/>
              </a:solidFill>
            </a:rPr>
            <a:t>dirigir</a:t>
          </a:r>
          <a:r>
            <a:rPr lang="es-ES" sz="1400" baseline="0">
              <a:solidFill>
                <a:schemeClr val="bg1"/>
              </a:solidFill>
            </a:rPr>
            <a:t> </a:t>
          </a:r>
          <a:r>
            <a:rPr lang="es-ES" sz="1400">
              <a:solidFill>
                <a:schemeClr val="bg1"/>
              </a:solidFill>
            </a:rPr>
            <a:t> el nuevo cupo a los segmentos "Bajo riesgo" y "Base estándar", priorizando </a:t>
          </a:r>
          <a:r>
            <a:rPr lang="es-ES" sz="1400" b="1">
              <a:solidFill>
                <a:schemeClr val="bg1"/>
              </a:solidFill>
            </a:rPr>
            <a:t>Crédito Rotativo</a:t>
          </a:r>
          <a:r>
            <a:rPr lang="es-ES" sz="1400">
              <a:solidFill>
                <a:schemeClr val="bg1"/>
              </a:solidFill>
            </a:rPr>
            <a:t> — es el producto con menor mora a nivel general (4%) y el que ya muestra mayor cartera sana colocada en Cali dentro de esos segmentos (~$7.3M combinados entre Manufactura, Agroindustria y Comercio, con 0% de mora</a:t>
          </a:r>
          <a:r>
            <a:rPr lang="es-ES" sz="1400">
              <a:solidFill>
                <a:schemeClr val="dk1"/>
              </a:solidFill>
            </a:rPr>
            <a:t>)</a:t>
          </a:r>
          <a:endParaRPr lang="es-ES" sz="1400">
            <a:solidFill>
              <a:schemeClr val="bg1"/>
            </a:solidFill>
          </a:endParaRPr>
        </a:p>
      </xdr:txBody>
    </xdr:sp>
    <xdr:clientData/>
  </xdr:twoCellAnchor>
  <xdr:twoCellAnchor editAs="oneCell">
    <xdr:from>
      <xdr:col>8</xdr:col>
      <xdr:colOff>705393</xdr:colOff>
      <xdr:row>28</xdr:row>
      <xdr:rowOff>129540</xdr:rowOff>
    </xdr:from>
    <xdr:to>
      <xdr:col>14</xdr:col>
      <xdr:colOff>461444</xdr:colOff>
      <xdr:row>42</xdr:row>
      <xdr:rowOff>17383</xdr:rowOff>
    </xdr:to>
    <xdr:pic>
      <xdr:nvPicPr>
        <xdr:cNvPr id="3" name="Imagen 2">
          <a:extLst>
            <a:ext uri="{FF2B5EF4-FFF2-40B4-BE49-F238E27FC236}">
              <a16:creationId xmlns:a16="http://schemas.microsoft.com/office/drawing/2014/main" id="{0787FBCA-A863-431E-97DF-56D9B199FD7C}"/>
            </a:ext>
          </a:extLst>
        </xdr:cNvPr>
        <xdr:cNvPicPr>
          <a:picLocks noChangeAspect="1"/>
        </xdr:cNvPicPr>
      </xdr:nvPicPr>
      <xdr:blipFill>
        <a:blip xmlns:r="http://schemas.openxmlformats.org/officeDocument/2006/relationships" r:embed="rId1"/>
        <a:stretch>
          <a:fillRect/>
        </a:stretch>
      </xdr:blipFill>
      <xdr:spPr>
        <a:xfrm>
          <a:off x="7826283" y="5076825"/>
          <a:ext cx="5356751" cy="2448163"/>
        </a:xfrm>
        <a:prstGeom prst="rect">
          <a:avLst/>
        </a:prstGeom>
      </xdr:spPr>
    </xdr:pic>
    <xdr:clientData/>
  </xdr:twoCellAnchor>
  <xdr:twoCellAnchor>
    <xdr:from>
      <xdr:col>1</xdr:col>
      <xdr:colOff>28577</xdr:colOff>
      <xdr:row>30</xdr:row>
      <xdr:rowOff>78105</xdr:rowOff>
    </xdr:from>
    <xdr:to>
      <xdr:col>6</xdr:col>
      <xdr:colOff>933451</xdr:colOff>
      <xdr:row>38</xdr:row>
      <xdr:rowOff>34290</xdr:rowOff>
    </xdr:to>
    <xdr:sp macro="" textlink="">
      <xdr:nvSpPr>
        <xdr:cNvPr id="4" name="CuadroTexto 3">
          <a:extLst>
            <a:ext uri="{FF2B5EF4-FFF2-40B4-BE49-F238E27FC236}">
              <a16:creationId xmlns:a16="http://schemas.microsoft.com/office/drawing/2014/main" id="{870250E2-365C-42C7-B8C0-973F822FC5AD}"/>
            </a:ext>
          </a:extLst>
        </xdr:cNvPr>
        <xdr:cNvSpPr txBox="1"/>
      </xdr:nvSpPr>
      <xdr:spPr>
        <a:xfrm>
          <a:off x="817247" y="5383530"/>
          <a:ext cx="5494019" cy="1403985"/>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050">
              <a:solidFill>
                <a:schemeClr val="bg1"/>
              </a:solidFill>
              <a:effectLst/>
              <a:latin typeface="+mn-lt"/>
              <a:ea typeface="+mn-ea"/>
              <a:cs typeface="+mn-cs"/>
            </a:rPr>
            <a:t>**</a:t>
          </a:r>
          <a:r>
            <a:rPr lang="es-ES" sz="1400">
              <a:solidFill>
                <a:schemeClr val="bg1"/>
              </a:solidFill>
            </a:rPr>
            <a:t>Rionegro (expandir con confianza):</a:t>
          </a:r>
          <a:r>
            <a:rPr lang="es-ES" sz="1050">
              <a:solidFill>
                <a:schemeClr val="bg1"/>
              </a:solidFill>
              <a:effectLst/>
              <a:latin typeface="+mn-lt"/>
              <a:ea typeface="+mn-ea"/>
              <a:cs typeface="+mn-cs"/>
            </a:rPr>
            <a:t>**</a:t>
          </a:r>
          <a:r>
            <a:rPr lang="es-ES" sz="1400">
              <a:solidFill>
                <a:schemeClr val="bg1"/>
              </a:solidFill>
            </a:rPr>
            <a:t> la ciudad de mejor comportamiento general (5% mora) tiene su mayor fortaleza en Línea Emprendimiento + Manufactura ($7.3M, 0% mora) y Crédito Grupal Solidario + Servicios ($4.1M, 0% mora) — combinaciones candidatas a ampliar cartera. Se recomienda evitar crecer en Microcrédito Individual + Servicios en esta ciudad, que ya muestra 31% de mora con 3 clientes.</a:t>
          </a:r>
        </a:p>
      </xdr:txBody>
    </xdr:sp>
    <xdr:clientData/>
  </xdr:twoCellAnchor>
  <xdr:twoCellAnchor>
    <xdr:from>
      <xdr:col>1</xdr:col>
      <xdr:colOff>24767</xdr:colOff>
      <xdr:row>39</xdr:row>
      <xdr:rowOff>55245</xdr:rowOff>
    </xdr:from>
    <xdr:to>
      <xdr:col>6</xdr:col>
      <xdr:colOff>931546</xdr:colOff>
      <xdr:row>51</xdr:row>
      <xdr:rowOff>171450</xdr:rowOff>
    </xdr:to>
    <xdr:sp macro="" textlink="">
      <xdr:nvSpPr>
        <xdr:cNvPr id="5" name="CuadroTexto 4">
          <a:extLst>
            <a:ext uri="{FF2B5EF4-FFF2-40B4-BE49-F238E27FC236}">
              <a16:creationId xmlns:a16="http://schemas.microsoft.com/office/drawing/2014/main" id="{ED5D7D94-65E3-4D06-BE8A-CFB2D95B9295}"/>
            </a:ext>
          </a:extLst>
        </xdr:cNvPr>
        <xdr:cNvSpPr txBox="1"/>
      </xdr:nvSpPr>
      <xdr:spPr>
        <a:xfrm>
          <a:off x="811532" y="6993255"/>
          <a:ext cx="5505449" cy="228028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solidFill>
                <a:schemeClr val="bg1"/>
              </a:solidFill>
            </a:rPr>
            <a:t>Se recomienda replicar esta misma metodología de análisis de escenarios (segmento de riesgo + producto + sector económico) para el resto de las ciudades de la Corporación, no solo para Cali. Cada ciudad puede tener una combinación distinta de producto/sector/segmento que maximice el crecimiento seguro de cartera — como ya se evidenció al comparar Cali (requiere selectividad) con Rionegro (tiene margen de expansión con bajo riesgo). Este enfoque permite construir una estrategia comercial diferenciada por ciudad, en lugar de aplicar una política de crédito uniforme a nivel nacional.</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acerquera_hmg_eu/Documents/Escritorio/PRUEBATECNICA/clientes_ficticio_1_escenario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Cerquera" refreshedDate="46269.943208680554" createdVersion="8" refreshedVersion="8" minRefreshableVersion="3" recordCount="320" xr:uid="{CC25EE7E-2546-4231-9172-126A2F15DF05}">
  <cacheSource type="worksheet">
    <worksheetSource name="Tabla1" r:id="rId2"/>
  </cacheSource>
  <cacheFields count="22">
    <cacheField name="cliente_id" numFmtId="0">
      <sharedItems/>
    </cacheField>
    <cacheField name="ciudad" numFmtId="0">
      <sharedItems count="10">
        <s v="Soacha"/>
        <s v="Medellín"/>
        <s v="Rionegro"/>
        <s v="Barranquilla"/>
        <s v="Bucaramanga"/>
        <s v="Bello"/>
        <s v="Itagüí"/>
        <s v="Bogotá"/>
        <s v="Cali"/>
        <s v="Pereira"/>
      </sharedItems>
    </cacheField>
    <cacheField name="departamento" numFmtId="0">
      <sharedItems/>
    </cacheField>
    <cacheField name="latitud" numFmtId="3">
      <sharedItems containsSemiMixedTypes="0" containsString="0" containsNumber="1" containsInteger="1" minValue="47099" maxValue="11029742"/>
    </cacheField>
    <cacheField name="longitud" numFmtId="3">
      <sharedItems containsSemiMixedTypes="0" containsString="0" containsNumber="1" containsInteger="1" minValue="-76606349" maxValue="-75656"/>
    </cacheField>
    <cacheField name="fecha_desembolso" numFmtId="14">
      <sharedItems containsSemiMixedTypes="0" containsNonDate="0" containsDate="1" containsString="0" minDate="2023-01-02T00:00:00" maxDate="2026-12-17T00:00:00"/>
    </cacheField>
    <cacheField name="producto_credito" numFmtId="0">
      <sharedItems count="4">
        <s v="Crédito Rotativo"/>
        <s v="Línea Emprendimiento"/>
        <s v="Microcrédito Individual"/>
        <s v="Crédito Grupal Solidario"/>
      </sharedItems>
    </cacheField>
    <cacheField name="monto_desembolsado" numFmtId="0">
      <sharedItems containsSemiMixedTypes="0" containsString="0" containsNumber="1" containsInteger="1" minValue="500000" maxValue="6000000"/>
    </cacheField>
    <cacheField name="saldo_cartera" numFmtId="0">
      <sharedItems containsSemiMixedTypes="0" containsString="0" containsNumber="1" containsInteger="1" minValue="58077" maxValue="5613361"/>
    </cacheField>
    <cacheField name="dias_mora" numFmtId="0">
      <sharedItems containsSemiMixedTypes="0" containsString="0" containsNumber="1" containsInteger="1" minValue="0" maxValue="120"/>
    </cacheField>
    <cacheField name="sector_economico" numFmtId="0">
      <sharedItems count="5">
        <s v="Alimentos"/>
        <s v="Servicios"/>
        <s v="Manufactura"/>
        <s v="Agroindustria"/>
        <s v="Comercio"/>
      </sharedItems>
    </cacheField>
    <cacheField name="ingresos_mensuales_estimados" numFmtId="0">
      <sharedItems containsSemiMixedTypes="0" containsString="0" containsNumber="1" containsInteger="1" minValue="900000" maxValue="3500000"/>
    </cacheField>
    <cacheField name="canal_adquisicion" numFmtId="0">
      <sharedItems/>
    </cacheField>
    <cacheField name="asesor_id_actual" numFmtId="0">
      <sharedItems count="10">
        <s v="ASE_002"/>
        <s v="ASE_006"/>
        <s v="ASE_004"/>
        <s v="ASE_007"/>
        <s v="ASE_009"/>
        <s v="ASE_008"/>
        <s v="ASE_003"/>
        <s v="ASE_010"/>
        <s v="ASE_001"/>
        <s v="ASE_005"/>
      </sharedItems>
    </cacheField>
    <cacheField name="sexo" numFmtId="0">
      <sharedItems/>
    </cacheField>
    <cacheField name="edad" numFmtId="0">
      <sharedItems containsSemiMixedTypes="0" containsString="0" containsNumber="1" containsInteger="1" minValue="20" maxValue="64"/>
    </cacheField>
    <cacheField name="oferta_comercial" numFmtId="0">
      <sharedItems/>
    </cacheField>
    <cacheField name="tamano_negocio" numFmtId="0">
      <sharedItems/>
    </cacheField>
    <cacheField name="saldo_mora_30" numFmtId="0">
      <sharedItems containsSemiMixedTypes="0" containsString="0" containsNumber="1" containsInteger="1" minValue="0" maxValue="4988247"/>
    </cacheField>
    <cacheField name="tasa_mora_ciudad" numFmtId="0">
      <sharedItems containsSemiMixedTypes="0" containsString="0" containsNumber="1" containsInteger="1" minValue="0" maxValue="1"/>
    </cacheField>
    <cacheField name="Ciudad_asesor" numFmtId="0">
      <sharedItems/>
    </cacheField>
    <cacheField name="MISMO_CIUDA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s v="CLI_0001"/>
    <x v="0"/>
    <s v="Cundinamarca"/>
    <n v="4595896"/>
    <n v="-74167459"/>
    <d v="2023-09-10T00:00:00"/>
    <x v="0"/>
    <n v="4000000"/>
    <n v="1962045"/>
    <n v="0"/>
    <x v="0"/>
    <n v="2000000"/>
    <s v="Visita en zona"/>
    <x v="0"/>
    <s v="Masculino"/>
    <n v="47"/>
    <s v="Ampliación de cupo"/>
    <s v="Pequeña empresa"/>
    <n v="0"/>
    <n v="0"/>
    <s v="Bello"/>
    <s v="NO"/>
  </r>
  <r>
    <s v="CLI_0002"/>
    <x v="1"/>
    <s v="Antioquia"/>
    <n v="6270002"/>
    <n v="-75537509"/>
    <d v="2025-08-21T00:00:00"/>
    <x v="0"/>
    <n v="500000"/>
    <n v="413510"/>
    <n v="45"/>
    <x v="1"/>
    <n v="2000000"/>
    <s v="Feria empresarial"/>
    <x v="1"/>
    <s v="Femenino"/>
    <n v="45"/>
    <s v="Reestructuración de deuda"/>
    <s v="Pequeña empresa"/>
    <n v="413510"/>
    <n v="1"/>
    <s v="Soacha"/>
    <s v="NO"/>
  </r>
  <r>
    <s v="CLI_0003"/>
    <x v="2"/>
    <s v="Antioquia"/>
    <n v="6182028"/>
    <n v="-75342309"/>
    <d v="2024-03-15T00:00:00"/>
    <x v="1"/>
    <n v="4000000"/>
    <n v="2603320"/>
    <n v="5"/>
    <x v="2"/>
    <n v="1300000"/>
    <s v="Aliado comercial"/>
    <x v="2"/>
    <s v="Masculino"/>
    <n v="42"/>
    <s v="Plan de alivio de pagos"/>
    <s v="Microempresa"/>
    <n v="0"/>
    <n v="0"/>
    <s v="Rionegro"/>
    <s v="SI"/>
  </r>
  <r>
    <s v="CLI_0004"/>
    <x v="0"/>
    <s v="Cundinamarca"/>
    <n v="4634156"/>
    <n v="-7417244"/>
    <d v="2025-02-07T00:00:00"/>
    <x v="0"/>
    <n v="800000"/>
    <n v="638826"/>
    <n v="30"/>
    <x v="1"/>
    <n v="2000000"/>
    <s v="Digital"/>
    <x v="3"/>
    <s v="Femenino"/>
    <n v="30"/>
    <s v="Reestructuración de deuda"/>
    <s v="Pequeña empresa"/>
    <n v="0"/>
    <n v="0"/>
    <s v="Cali"/>
    <s v="NO"/>
  </r>
  <r>
    <s v="CLI_0005"/>
    <x v="3"/>
    <s v="Atlántico"/>
    <n v="10906759"/>
    <n v="-74854059"/>
    <d v="2026-10-13T00:00:00"/>
    <x v="0"/>
    <n v="4000000"/>
    <n v="2308652"/>
    <n v="0"/>
    <x v="1"/>
    <n v="2800000"/>
    <s v="Visita en zona"/>
    <x v="4"/>
    <s v="Femenino"/>
    <n v="32"/>
    <s v="Educación financiera + seguro"/>
    <s v="Pequeña empresa"/>
    <n v="0"/>
    <n v="0"/>
    <s v="Bucaramanga"/>
    <s v="NO"/>
  </r>
  <r>
    <s v="CLI_0006"/>
    <x v="3"/>
    <s v="Atlántico"/>
    <n v="10898446"/>
    <n v="-74868861"/>
    <d v="2026-10-03T00:00:00"/>
    <x v="1"/>
    <n v="500000"/>
    <n v="114958"/>
    <n v="0"/>
    <x v="3"/>
    <n v="3500000"/>
    <s v="Aliado comercial"/>
    <x v="5"/>
    <s v="Masculino"/>
    <n v="29"/>
    <s v="Ampliación de cupo"/>
    <s v="Mediana empresa"/>
    <n v="0"/>
    <n v="0"/>
    <s v="Barranquilla"/>
    <s v="SI"/>
  </r>
  <r>
    <s v="CLI_0007"/>
    <x v="4"/>
    <s v="Santander"/>
    <n v="7079526"/>
    <n v="-73114184"/>
    <d v="2025-11-11T00:00:00"/>
    <x v="2"/>
    <n v="500000"/>
    <n v="339120"/>
    <n v="0"/>
    <x v="2"/>
    <n v="2800000"/>
    <s v="Digital"/>
    <x v="6"/>
    <s v="Femenino"/>
    <n v="56"/>
    <s v="Educación financiera + seguro"/>
    <s v="Pequeña empresa"/>
    <n v="0"/>
    <n v="0"/>
    <s v="Itagüí"/>
    <s v="NO"/>
  </r>
  <r>
    <s v="CLI_0008"/>
    <x v="3"/>
    <s v="Atlántico"/>
    <n v="10884419"/>
    <n v="-74760865"/>
    <d v="2023-11-10T00:00:00"/>
    <x v="3"/>
    <n v="4000000"/>
    <n v="1295523"/>
    <n v="0"/>
    <x v="1"/>
    <n v="1300000"/>
    <s v="Feria empresarial"/>
    <x v="6"/>
    <s v="Femenino"/>
    <n v="57"/>
    <s v="Ampliación de cupo"/>
    <s v="Microempresa"/>
    <n v="0"/>
    <n v="0"/>
    <s v="Itagüí"/>
    <s v="NO"/>
  </r>
  <r>
    <s v="CLI_0009"/>
    <x v="4"/>
    <s v="Santander"/>
    <n v="719186"/>
    <n v="-73055111"/>
    <d v="2025-05-08T00:00:00"/>
    <x v="2"/>
    <n v="500000"/>
    <n v="304551"/>
    <n v="0"/>
    <x v="1"/>
    <n v="900000"/>
    <s v="Aliado comercial"/>
    <x v="0"/>
    <s v="Masculino"/>
    <n v="63"/>
    <s v="Educación financiera + seguro"/>
    <s v="Microempresa"/>
    <n v="0"/>
    <n v="0"/>
    <s v="Bello"/>
    <s v="NO"/>
  </r>
  <r>
    <s v="CLI_0010"/>
    <x v="5"/>
    <s v="Antioquia"/>
    <n v="6374405"/>
    <n v="-75507436"/>
    <d v="2026-09-06T00:00:00"/>
    <x v="0"/>
    <n v="6000000"/>
    <n v="3316801"/>
    <n v="0"/>
    <x v="0"/>
    <n v="3500000"/>
    <s v="Aliado comercial"/>
    <x v="3"/>
    <s v="Masculino"/>
    <n v="36"/>
    <s v="Educación financiera + seguro"/>
    <s v="Mediana empresa"/>
    <n v="0"/>
    <n v="0"/>
    <s v="Cali"/>
    <s v="NO"/>
  </r>
  <r>
    <s v="CLI_0011"/>
    <x v="2"/>
    <s v="Antioquia"/>
    <n v="6223426"/>
    <n v="-75333758"/>
    <d v="2025-08-17T00:00:00"/>
    <x v="1"/>
    <n v="4000000"/>
    <n v="1083914"/>
    <n v="0"/>
    <x v="4"/>
    <n v="3500000"/>
    <s v="Visita en zona"/>
    <x v="2"/>
    <s v="Masculino"/>
    <n v="61"/>
    <s v="Ampliación de cupo"/>
    <s v="Mediana empresa"/>
    <n v="0"/>
    <n v="0"/>
    <s v="Rionegro"/>
    <s v="SI"/>
  </r>
  <r>
    <s v="CLI_0012"/>
    <x v="5"/>
    <s v="Antioquia"/>
    <n v="6311394"/>
    <n v="-75543871"/>
    <d v="2023-04-03T00:00:00"/>
    <x v="2"/>
    <n v="800000"/>
    <n v="480139"/>
    <n v="0"/>
    <x v="2"/>
    <n v="3500000"/>
    <s v="Referido"/>
    <x v="4"/>
    <s v="Femenino"/>
    <n v="48"/>
    <s v="Educación financiera + seguro"/>
    <s v="Mediana empresa"/>
    <n v="0"/>
    <n v="0"/>
    <s v="Bucaramanga"/>
    <s v="NO"/>
  </r>
  <r>
    <s v="CLI_0013"/>
    <x v="2"/>
    <s v="Antioquia"/>
    <n v="6119356"/>
    <n v="-75376934"/>
    <d v="2026-04-26T00:00:00"/>
    <x v="1"/>
    <n v="2500000"/>
    <n v="531163"/>
    <n v="60"/>
    <x v="3"/>
    <n v="2800000"/>
    <s v="Visita en zona"/>
    <x v="0"/>
    <s v="Masculino"/>
    <n v="42"/>
    <s v="Reestructuración de deuda"/>
    <s v="Pequeña empresa"/>
    <n v="531163"/>
    <n v="1"/>
    <s v="Bello"/>
    <s v="NO"/>
  </r>
  <r>
    <s v="CLI_0014"/>
    <x v="5"/>
    <s v="Antioquia"/>
    <n v="6362737"/>
    <n v="-75581312"/>
    <d v="2023-01-13T00:00:00"/>
    <x v="0"/>
    <n v="1800000"/>
    <n v="894548"/>
    <n v="15"/>
    <x v="4"/>
    <n v="3500000"/>
    <s v="Visita en zona"/>
    <x v="2"/>
    <s v="Masculino"/>
    <n v="60"/>
    <s v="Plan de alivio de pagos"/>
    <s v="Mediana empresa"/>
    <n v="0"/>
    <n v="0"/>
    <s v="Rionegro"/>
    <s v="NO"/>
  </r>
  <r>
    <s v="CLI_0015"/>
    <x v="2"/>
    <s v="Antioquia"/>
    <n v="6160606"/>
    <n v="-75432171"/>
    <d v="2026-09-04T00:00:00"/>
    <x v="2"/>
    <n v="800000"/>
    <n v="269411"/>
    <n v="0"/>
    <x v="0"/>
    <n v="900000"/>
    <s v="Referido"/>
    <x v="0"/>
    <s v="Femenino"/>
    <n v="60"/>
    <s v="Ampliación de cupo"/>
    <s v="Microempresa"/>
    <n v="0"/>
    <n v="0"/>
    <s v="Bello"/>
    <s v="NO"/>
  </r>
  <r>
    <s v="CLI_0016"/>
    <x v="2"/>
    <s v="Antioquia"/>
    <n v="610141"/>
    <n v="-75376897"/>
    <d v="2026-01-13T00:00:00"/>
    <x v="0"/>
    <n v="800000"/>
    <n v="667962"/>
    <n v="45"/>
    <x v="3"/>
    <n v="1300000"/>
    <s v="Feria empresarial"/>
    <x v="3"/>
    <s v="Masculino"/>
    <n v="37"/>
    <s v="Reestructuración de deuda"/>
    <s v="Microempresa"/>
    <n v="667962"/>
    <n v="1"/>
    <s v="Cali"/>
    <s v="NO"/>
  </r>
  <r>
    <s v="CLI_0017"/>
    <x v="4"/>
    <s v="Santander"/>
    <n v="7145199"/>
    <n v="-73124833"/>
    <d v="2023-12-11T00:00:00"/>
    <x v="2"/>
    <n v="800000"/>
    <n v="281761"/>
    <n v="90"/>
    <x v="4"/>
    <n v="2800000"/>
    <s v="Aliado comercial"/>
    <x v="5"/>
    <s v="Femenino"/>
    <n v="41"/>
    <s v="Reestructuración de deuda"/>
    <s v="Pequeña empresa"/>
    <n v="281761"/>
    <n v="1"/>
    <s v="Barranquilla"/>
    <s v="NO"/>
  </r>
  <r>
    <s v="CLI_0018"/>
    <x v="4"/>
    <s v="Santander"/>
    <n v="7186402"/>
    <n v="-7311772"/>
    <d v="2023-10-03T00:00:00"/>
    <x v="3"/>
    <n v="500000"/>
    <n v="458331"/>
    <n v="0"/>
    <x v="3"/>
    <n v="1300000"/>
    <s v="Referido"/>
    <x v="7"/>
    <s v="Masculino"/>
    <n v="25"/>
    <s v="Educación financiera + seguro"/>
    <s v="Microempresa"/>
    <n v="0"/>
    <n v="0"/>
    <s v="Pereira"/>
    <s v="NO"/>
  </r>
  <r>
    <s v="CLI_0019"/>
    <x v="2"/>
    <s v="Antioquia"/>
    <n v="6167427"/>
    <n v="-75448241"/>
    <d v="2025-05-07T00:00:00"/>
    <x v="0"/>
    <n v="500000"/>
    <n v="228171"/>
    <n v="0"/>
    <x v="1"/>
    <n v="2800000"/>
    <s v="Feria empresarial"/>
    <x v="3"/>
    <s v="Femenino"/>
    <n v="30"/>
    <s v="Ampliación de cupo"/>
    <s v="Pequeña empresa"/>
    <n v="0"/>
    <n v="0"/>
    <s v="Cali"/>
    <s v="NO"/>
  </r>
  <r>
    <s v="CLI_0020"/>
    <x v="6"/>
    <s v="Antioquia"/>
    <n v="619937"/>
    <n v="-756442"/>
    <d v="2026-10-19T00:00:00"/>
    <x v="2"/>
    <n v="1200000"/>
    <n v="1067599"/>
    <n v="60"/>
    <x v="4"/>
    <n v="900000"/>
    <s v="Aliado comercial"/>
    <x v="2"/>
    <s v="Masculino"/>
    <n v="23"/>
    <s v="Reestructuración de deuda"/>
    <s v="Microempresa"/>
    <n v="1067599"/>
    <n v="1"/>
    <s v="Rionegro"/>
    <s v="NO"/>
  </r>
  <r>
    <s v="CLI_0021"/>
    <x v="4"/>
    <s v="Santander"/>
    <n v="7081732"/>
    <n v="-73053378"/>
    <d v="2026-09-23T00:00:00"/>
    <x v="0"/>
    <n v="500000"/>
    <n v="423690"/>
    <n v="0"/>
    <x v="0"/>
    <n v="1300000"/>
    <s v="Aliado comercial"/>
    <x v="8"/>
    <s v="Masculino"/>
    <n v="40"/>
    <s v="Educación financiera + seguro"/>
    <s v="Microempresa"/>
    <n v="0"/>
    <n v="0"/>
    <s v="Medellín"/>
    <s v="NO"/>
  </r>
  <r>
    <s v="CLI_0022"/>
    <x v="4"/>
    <s v="Santander"/>
    <n v="7087201"/>
    <n v="-73096558"/>
    <d v="2024-05-10T00:00:00"/>
    <x v="3"/>
    <n v="800000"/>
    <n v="259837"/>
    <n v="45"/>
    <x v="2"/>
    <n v="3500000"/>
    <s v="Visita en zona"/>
    <x v="9"/>
    <s v="Masculino"/>
    <n v="59"/>
    <s v="Reestructuración de deuda"/>
    <s v="Mediana empresa"/>
    <n v="259837"/>
    <n v="1"/>
    <s v="Bogotá"/>
    <s v="NO"/>
  </r>
  <r>
    <s v="CLI_0023"/>
    <x v="4"/>
    <s v="Santander"/>
    <n v="7117465"/>
    <n v="-73057846"/>
    <d v="2023-01-11T00:00:00"/>
    <x v="3"/>
    <n v="6000000"/>
    <n v="859074"/>
    <n v="5"/>
    <x v="2"/>
    <n v="1600000"/>
    <s v="Visita en zona"/>
    <x v="5"/>
    <s v="Femenino"/>
    <n v="37"/>
    <s v="Plan de alivio de pagos"/>
    <s v="Pequeña empresa"/>
    <n v="0"/>
    <n v="0"/>
    <s v="Barranquilla"/>
    <s v="NO"/>
  </r>
  <r>
    <s v="CLI_0024"/>
    <x v="4"/>
    <s v="Santander"/>
    <n v="7152207"/>
    <n v="-73112955"/>
    <d v="2023-06-19T00:00:00"/>
    <x v="3"/>
    <n v="500000"/>
    <n v="81979"/>
    <n v="45"/>
    <x v="3"/>
    <n v="1300000"/>
    <s v="Visita en zona"/>
    <x v="8"/>
    <s v="Femenino"/>
    <n v="42"/>
    <s v="Reestructuración de deuda"/>
    <s v="Microempresa"/>
    <n v="81979"/>
    <n v="1"/>
    <s v="Medellín"/>
    <s v="NO"/>
  </r>
  <r>
    <s v="CLI_0025"/>
    <x v="7"/>
    <s v="Cundinamarca"/>
    <n v="4689344"/>
    <n v="-74002806"/>
    <d v="2024-11-04T00:00:00"/>
    <x v="0"/>
    <n v="6000000"/>
    <n v="803464"/>
    <n v="0"/>
    <x v="0"/>
    <n v="3500000"/>
    <s v="Digital"/>
    <x v="7"/>
    <s v="Femenino"/>
    <n v="54"/>
    <s v="Ampliación de cupo"/>
    <s v="Mediana empresa"/>
    <n v="0"/>
    <n v="0"/>
    <s v="Pereira"/>
    <s v="NO"/>
  </r>
  <r>
    <s v="CLI_0026"/>
    <x v="6"/>
    <s v="Antioquia"/>
    <n v="6240022"/>
    <n v="-75654322"/>
    <d v="2023-03-24T00:00:00"/>
    <x v="0"/>
    <n v="800000"/>
    <n v="743820"/>
    <n v="30"/>
    <x v="3"/>
    <n v="2000000"/>
    <s v="Visita en zona"/>
    <x v="9"/>
    <s v="Femenino"/>
    <n v="33"/>
    <s v="Reestructuración de deuda"/>
    <s v="Pequeña empresa"/>
    <n v="0"/>
    <n v="0"/>
    <s v="Bogotá"/>
    <s v="NO"/>
  </r>
  <r>
    <s v="CLI_0027"/>
    <x v="6"/>
    <s v="Antioquia"/>
    <n v="621788"/>
    <n v="-75674905"/>
    <d v="2026-06-10T00:00:00"/>
    <x v="3"/>
    <n v="6000000"/>
    <n v="797495"/>
    <n v="0"/>
    <x v="1"/>
    <n v="1300000"/>
    <s v="Referido"/>
    <x v="2"/>
    <s v="Femenino"/>
    <n v="38"/>
    <s v="Ampliación de cupo"/>
    <s v="Microempresa"/>
    <n v="0"/>
    <n v="0"/>
    <s v="Rionegro"/>
    <s v="NO"/>
  </r>
  <r>
    <s v="CLI_0028"/>
    <x v="8"/>
    <s v="Valle del Cauca"/>
    <n v="3424122"/>
    <n v="-76473704"/>
    <d v="2025-01-04T00:00:00"/>
    <x v="0"/>
    <n v="6000000"/>
    <n v="2023537"/>
    <n v="5"/>
    <x v="1"/>
    <n v="2000000"/>
    <s v="Aliado comercial"/>
    <x v="9"/>
    <s v="Femenino"/>
    <n v="51"/>
    <s v="Plan de alivio de pagos"/>
    <s v="Pequeña empresa"/>
    <n v="0"/>
    <n v="0"/>
    <s v="Bogotá"/>
    <s v="NO"/>
  </r>
  <r>
    <s v="CLI_0029"/>
    <x v="1"/>
    <s v="Antioquia"/>
    <n v="6181544"/>
    <n v="-7559167"/>
    <d v="2023-07-19T00:00:00"/>
    <x v="3"/>
    <n v="4000000"/>
    <n v="3073856"/>
    <n v="0"/>
    <x v="2"/>
    <n v="2800000"/>
    <s v="Referido"/>
    <x v="3"/>
    <s v="Femenino"/>
    <n v="21"/>
    <s v="Educación financiera + seguro"/>
    <s v="Pequeña empresa"/>
    <n v="0"/>
    <n v="0"/>
    <s v="Cali"/>
    <s v="NO"/>
  </r>
  <r>
    <s v="CLI_0030"/>
    <x v="1"/>
    <s v="Antioquia"/>
    <n v="6247387"/>
    <n v="-75532158"/>
    <d v="2024-06-14T00:00:00"/>
    <x v="2"/>
    <n v="4000000"/>
    <n v="2846062"/>
    <n v="15"/>
    <x v="2"/>
    <n v="3500000"/>
    <s v="Aliado comercial"/>
    <x v="1"/>
    <s v="Masculino"/>
    <n v="61"/>
    <s v="Plan de alivio de pagos"/>
    <s v="Mediana empresa"/>
    <n v="0"/>
    <n v="0"/>
    <s v="Soacha"/>
    <s v="NO"/>
  </r>
  <r>
    <s v="CLI_0031"/>
    <x v="5"/>
    <s v="Antioquia"/>
    <n v="6372461"/>
    <n v="-75589948"/>
    <d v="2025-09-05T00:00:00"/>
    <x v="3"/>
    <n v="1200000"/>
    <n v="800231"/>
    <n v="0"/>
    <x v="3"/>
    <n v="3500000"/>
    <s v="Digital"/>
    <x v="6"/>
    <s v="Masculino"/>
    <n v="35"/>
    <s v="Educación financiera + seguro"/>
    <s v="Mediana empresa"/>
    <n v="0"/>
    <n v="0"/>
    <s v="Itagüí"/>
    <s v="NO"/>
  </r>
  <r>
    <s v="CLI_0032"/>
    <x v="9"/>
    <s v="Risaralda"/>
    <n v="4825357"/>
    <n v="-75709628"/>
    <d v="2025-08-15T00:00:00"/>
    <x v="1"/>
    <n v="6000000"/>
    <n v="602070"/>
    <n v="0"/>
    <x v="1"/>
    <n v="2000000"/>
    <s v="Aliado comercial"/>
    <x v="5"/>
    <s v="Femenino"/>
    <n v="60"/>
    <s v="Ampliación de cupo"/>
    <s v="Pequeña empresa"/>
    <n v="0"/>
    <n v="0"/>
    <s v="Barranquilla"/>
    <s v="NO"/>
  </r>
  <r>
    <s v="CLI_0033"/>
    <x v="6"/>
    <s v="Antioquia"/>
    <n v="6197316"/>
    <n v="-75646794"/>
    <d v="2025-04-26T00:00:00"/>
    <x v="3"/>
    <n v="4000000"/>
    <n v="2551999"/>
    <n v="0"/>
    <x v="1"/>
    <n v="1300000"/>
    <s v="Referido"/>
    <x v="8"/>
    <s v="Femenino"/>
    <n v="22"/>
    <s v="Educación financiera + seguro"/>
    <s v="Microempresa"/>
    <n v="0"/>
    <n v="0"/>
    <s v="Medellín"/>
    <s v="NO"/>
  </r>
  <r>
    <s v="CLI_0034"/>
    <x v="2"/>
    <s v="Antioquia"/>
    <n v="623223"/>
    <n v="-75356796"/>
    <d v="2024-12-23T00:00:00"/>
    <x v="1"/>
    <n v="6000000"/>
    <n v="971424"/>
    <n v="0"/>
    <x v="3"/>
    <n v="3500000"/>
    <s v="Digital"/>
    <x v="2"/>
    <s v="Femenino"/>
    <n v="22"/>
    <s v="Ampliación de cupo"/>
    <s v="Mediana empresa"/>
    <n v="0"/>
    <n v="0"/>
    <s v="Rionegro"/>
    <s v="SI"/>
  </r>
  <r>
    <s v="CLI_0035"/>
    <x v="6"/>
    <s v="Antioquia"/>
    <n v="6196869"/>
    <n v="-75691313"/>
    <d v="2024-03-26T00:00:00"/>
    <x v="1"/>
    <n v="6000000"/>
    <n v="4988247"/>
    <n v="45"/>
    <x v="4"/>
    <n v="2000000"/>
    <s v="Aliado comercial"/>
    <x v="2"/>
    <s v="Masculino"/>
    <n v="50"/>
    <s v="Reestructuración de deuda"/>
    <s v="Pequeña empresa"/>
    <n v="4988247"/>
    <n v="1"/>
    <s v="Rionegro"/>
    <s v="NO"/>
  </r>
  <r>
    <s v="CLI_0036"/>
    <x v="5"/>
    <s v="Antioquia"/>
    <n v="6330334"/>
    <n v="-75509773"/>
    <d v="2026-10-27T00:00:00"/>
    <x v="1"/>
    <n v="4000000"/>
    <n v="2205848"/>
    <n v="0"/>
    <x v="0"/>
    <n v="1600000"/>
    <s v="Digital"/>
    <x v="6"/>
    <s v="Masculino"/>
    <n v="64"/>
    <s v="Educación financiera + seguro"/>
    <s v="Pequeña empresa"/>
    <n v="0"/>
    <n v="0"/>
    <s v="Itagüí"/>
    <s v="NO"/>
  </r>
  <r>
    <s v="CLI_0037"/>
    <x v="3"/>
    <s v="Atlántico"/>
    <n v="10955911"/>
    <n v="-74756116"/>
    <d v="2026-11-08T00:00:00"/>
    <x v="0"/>
    <n v="6000000"/>
    <n v="3852073"/>
    <n v="15"/>
    <x v="3"/>
    <n v="2800000"/>
    <s v="Referido"/>
    <x v="9"/>
    <s v="Masculino"/>
    <n v="37"/>
    <s v="Plan de alivio de pagos"/>
    <s v="Pequeña empresa"/>
    <n v="0"/>
    <n v="0"/>
    <s v="Bogotá"/>
    <s v="NO"/>
  </r>
  <r>
    <s v="CLI_0038"/>
    <x v="2"/>
    <s v="Antioquia"/>
    <n v="6118274"/>
    <n v="-75403446"/>
    <d v="2024-12-07T00:00:00"/>
    <x v="2"/>
    <n v="2500000"/>
    <n v="421228"/>
    <n v="0"/>
    <x v="3"/>
    <n v="2000000"/>
    <s v="Digital"/>
    <x v="1"/>
    <s v="Femenino"/>
    <n v="47"/>
    <s v="Ampliación de cupo"/>
    <s v="Pequeña empresa"/>
    <n v="0"/>
    <n v="0"/>
    <s v="Soacha"/>
    <s v="NO"/>
  </r>
  <r>
    <s v="CLI_0039"/>
    <x v="4"/>
    <s v="Santander"/>
    <n v="7113848"/>
    <n v="-73192737"/>
    <d v="2023-10-13T00:00:00"/>
    <x v="1"/>
    <n v="6000000"/>
    <n v="2742732"/>
    <n v="45"/>
    <x v="4"/>
    <n v="2800000"/>
    <s v="Feria empresarial"/>
    <x v="9"/>
    <s v="Masculino"/>
    <n v="35"/>
    <s v="Reestructuración de deuda"/>
    <s v="Pequeña empresa"/>
    <n v="2742732"/>
    <n v="1"/>
    <s v="Bogotá"/>
    <s v="NO"/>
  </r>
  <r>
    <s v="CLI_0040"/>
    <x v="8"/>
    <s v="Valle del Cauca"/>
    <n v="3508152"/>
    <n v="-76459451"/>
    <d v="2024-08-08T00:00:00"/>
    <x v="0"/>
    <n v="1800000"/>
    <n v="1003477"/>
    <n v="15"/>
    <x v="3"/>
    <n v="2800000"/>
    <s v="Digital"/>
    <x v="8"/>
    <s v="Masculino"/>
    <n v="22"/>
    <s v="Plan de alivio de pagos"/>
    <s v="Pequeña empresa"/>
    <n v="0"/>
    <n v="0"/>
    <s v="Medellín"/>
    <s v="NO"/>
  </r>
  <r>
    <s v="CLI_0041"/>
    <x v="8"/>
    <s v="Valle del Cauca"/>
    <n v="3425381"/>
    <n v="-76503337"/>
    <d v="2023-07-19T00:00:00"/>
    <x v="2"/>
    <n v="1800000"/>
    <n v="1287998"/>
    <n v="30"/>
    <x v="4"/>
    <n v="1300000"/>
    <s v="Digital"/>
    <x v="6"/>
    <s v="Masculino"/>
    <n v="36"/>
    <s v="Reestructuración de deuda"/>
    <s v="Microempresa"/>
    <n v="0"/>
    <n v="0"/>
    <s v="Itagüí"/>
    <s v="NO"/>
  </r>
  <r>
    <s v="CLI_0042"/>
    <x v="3"/>
    <s v="Atlántico"/>
    <n v="10912977"/>
    <n v="-74834775"/>
    <d v="2025-07-09T00:00:00"/>
    <x v="2"/>
    <n v="1200000"/>
    <n v="335893"/>
    <n v="0"/>
    <x v="3"/>
    <n v="2000000"/>
    <s v="Referido"/>
    <x v="4"/>
    <s v="Femenino"/>
    <n v="34"/>
    <s v="Ampliación de cupo"/>
    <s v="Pequeña empresa"/>
    <n v="0"/>
    <n v="0"/>
    <s v="Bucaramanga"/>
    <s v="NO"/>
  </r>
  <r>
    <s v="CLI_0043"/>
    <x v="1"/>
    <s v="Antioquia"/>
    <n v="6324185"/>
    <n v="-75605206"/>
    <d v="2023-04-07T00:00:00"/>
    <x v="2"/>
    <n v="4000000"/>
    <n v="633302"/>
    <n v="90"/>
    <x v="0"/>
    <n v="900000"/>
    <s v="Visita en zona"/>
    <x v="2"/>
    <s v="Femenino"/>
    <n v="23"/>
    <s v="Reestructuración de deuda"/>
    <s v="Microempresa"/>
    <n v="633302"/>
    <n v="1"/>
    <s v="Rionegro"/>
    <s v="NO"/>
  </r>
  <r>
    <s v="CLI_0044"/>
    <x v="6"/>
    <s v="Antioquia"/>
    <n v="616767"/>
    <n v="-75673898"/>
    <d v="2024-10-20T00:00:00"/>
    <x v="2"/>
    <n v="800000"/>
    <n v="396223"/>
    <n v="0"/>
    <x v="1"/>
    <n v="1600000"/>
    <s v="Feria empresarial"/>
    <x v="0"/>
    <s v="Masculino"/>
    <n v="20"/>
    <s v="Ampliación de cupo"/>
    <s v="Pequeña empresa"/>
    <n v="0"/>
    <n v="0"/>
    <s v="Bello"/>
    <s v="NO"/>
  </r>
  <r>
    <s v="CLI_0045"/>
    <x v="9"/>
    <s v="Risaralda"/>
    <n v="4738409"/>
    <n v="-75724687"/>
    <d v="2024-02-19T00:00:00"/>
    <x v="3"/>
    <n v="4000000"/>
    <n v="3487289"/>
    <n v="0"/>
    <x v="4"/>
    <n v="3500000"/>
    <s v="Feria empresarial"/>
    <x v="7"/>
    <s v="Masculino"/>
    <n v="49"/>
    <s v="Educación financiera + seguro"/>
    <s v="Mediana empresa"/>
    <n v="0"/>
    <n v="0"/>
    <s v="Pereira"/>
    <s v="SI"/>
  </r>
  <r>
    <s v="CLI_0046"/>
    <x v="5"/>
    <s v="Antioquia"/>
    <n v="6384696"/>
    <n v="-75547451"/>
    <d v="2023-09-21T00:00:00"/>
    <x v="0"/>
    <n v="500000"/>
    <n v="197562"/>
    <n v="0"/>
    <x v="4"/>
    <n v="1600000"/>
    <s v="Digital"/>
    <x v="5"/>
    <s v="Femenino"/>
    <n v="52"/>
    <s v="Ampliación de cupo"/>
    <s v="Pequeña empresa"/>
    <n v="0"/>
    <n v="0"/>
    <s v="Barranquilla"/>
    <s v="NO"/>
  </r>
  <r>
    <s v="CLI_0047"/>
    <x v="5"/>
    <s v="Antioquia"/>
    <n v="6326664"/>
    <n v="-7558005"/>
    <d v="2025-10-26T00:00:00"/>
    <x v="1"/>
    <n v="6000000"/>
    <n v="2944671"/>
    <n v="0"/>
    <x v="3"/>
    <n v="1300000"/>
    <s v="Digital"/>
    <x v="7"/>
    <s v="Femenino"/>
    <n v="35"/>
    <s v="Ampliación de cupo"/>
    <s v="Microempresa"/>
    <n v="0"/>
    <n v="0"/>
    <s v="Pereira"/>
    <s v="NO"/>
  </r>
  <r>
    <s v="CLI_0048"/>
    <x v="7"/>
    <s v="Cundinamarca"/>
    <n v="4682569"/>
    <n v="-74112821"/>
    <d v="2026-06-01T00:00:00"/>
    <x v="1"/>
    <n v="500000"/>
    <n v="168545"/>
    <n v="0"/>
    <x v="2"/>
    <n v="2000000"/>
    <s v="Visita en zona"/>
    <x v="5"/>
    <s v="Femenino"/>
    <n v="37"/>
    <s v="Ampliación de cupo"/>
    <s v="Pequeña empresa"/>
    <n v="0"/>
    <n v="0"/>
    <s v="Barranquilla"/>
    <s v="NO"/>
  </r>
  <r>
    <s v="CLI_0049"/>
    <x v="2"/>
    <s v="Antioquia"/>
    <n v="6131572"/>
    <n v="-75413264"/>
    <d v="2023-09-07T00:00:00"/>
    <x v="2"/>
    <n v="1200000"/>
    <n v="1017926"/>
    <n v="15"/>
    <x v="1"/>
    <n v="1600000"/>
    <s v="Digital"/>
    <x v="5"/>
    <s v="Femenino"/>
    <n v="56"/>
    <s v="Plan de alivio de pagos"/>
    <s v="Pequeña empresa"/>
    <n v="0"/>
    <n v="0"/>
    <s v="Barranquilla"/>
    <s v="NO"/>
  </r>
  <r>
    <s v="CLI_0050"/>
    <x v="4"/>
    <s v="Santander"/>
    <n v="7160606"/>
    <n v="-73092203"/>
    <d v="2023-05-08T00:00:00"/>
    <x v="1"/>
    <n v="4000000"/>
    <n v="2820264"/>
    <n v="0"/>
    <x v="1"/>
    <n v="900000"/>
    <s v="Feria empresarial"/>
    <x v="7"/>
    <s v="Femenino"/>
    <n v="30"/>
    <s v="Educación financiera + seguro"/>
    <s v="Microempresa"/>
    <n v="0"/>
    <n v="0"/>
    <s v="Pereira"/>
    <s v="NO"/>
  </r>
  <r>
    <s v="CLI_0051"/>
    <x v="0"/>
    <s v="Cundinamarca"/>
    <n v="4575022"/>
    <n v="-74211652"/>
    <d v="2026-05-10T00:00:00"/>
    <x v="0"/>
    <n v="1800000"/>
    <n v="1704846"/>
    <n v="0"/>
    <x v="1"/>
    <n v="1600000"/>
    <s v="Referido"/>
    <x v="2"/>
    <s v="Femenino"/>
    <n v="44"/>
    <s v="Educación financiera + seguro"/>
    <s v="Pequeña empresa"/>
    <n v="0"/>
    <n v="0"/>
    <s v="Rionegro"/>
    <s v="NO"/>
  </r>
  <r>
    <s v="CLI_0052"/>
    <x v="0"/>
    <s v="Cundinamarca"/>
    <n v="4518429"/>
    <n v="-74210862"/>
    <d v="2026-05-24T00:00:00"/>
    <x v="0"/>
    <n v="6000000"/>
    <n v="4119834"/>
    <n v="0"/>
    <x v="4"/>
    <n v="3500000"/>
    <s v="Visita en zona"/>
    <x v="9"/>
    <s v="Masculino"/>
    <n v="64"/>
    <s v="Educación financiera + seguro"/>
    <s v="Mediana empresa"/>
    <n v="0"/>
    <n v="0"/>
    <s v="Bogotá"/>
    <s v="NO"/>
  </r>
  <r>
    <s v="CLI_0053"/>
    <x v="2"/>
    <s v="Antioquia"/>
    <n v="6132541"/>
    <n v="-75406237"/>
    <d v="2025-12-05T00:00:00"/>
    <x v="1"/>
    <n v="4000000"/>
    <n v="2216059"/>
    <n v="0"/>
    <x v="4"/>
    <n v="900000"/>
    <s v="Referido"/>
    <x v="7"/>
    <s v="Masculino"/>
    <n v="60"/>
    <s v="Educación financiera + seguro"/>
    <s v="Microempresa"/>
    <n v="0"/>
    <n v="0"/>
    <s v="Pereira"/>
    <s v="NO"/>
  </r>
  <r>
    <s v="CLI_0054"/>
    <x v="7"/>
    <s v="Cundinamarca"/>
    <n v="4706104"/>
    <n v="-74081625"/>
    <d v="2023-02-13T00:00:00"/>
    <x v="1"/>
    <n v="800000"/>
    <n v="736538"/>
    <n v="0"/>
    <x v="4"/>
    <n v="2000000"/>
    <s v="Aliado comercial"/>
    <x v="8"/>
    <s v="Femenino"/>
    <n v="44"/>
    <s v="Educación financiera + seguro"/>
    <s v="Pequeña empresa"/>
    <n v="0"/>
    <n v="0"/>
    <s v="Medellín"/>
    <s v="NO"/>
  </r>
  <r>
    <s v="CLI_0055"/>
    <x v="6"/>
    <s v="Antioquia"/>
    <n v="6115772"/>
    <n v="-75602146"/>
    <d v="2026-10-20T00:00:00"/>
    <x v="3"/>
    <n v="1200000"/>
    <n v="206885"/>
    <n v="0"/>
    <x v="0"/>
    <n v="2800000"/>
    <s v="Digital"/>
    <x v="5"/>
    <s v="Masculino"/>
    <n v="20"/>
    <s v="Ampliación de cupo"/>
    <s v="Pequeña empresa"/>
    <n v="0"/>
    <n v="0"/>
    <s v="Barranquilla"/>
    <s v="NO"/>
  </r>
  <r>
    <s v="CLI_0056"/>
    <x v="3"/>
    <s v="Atlántico"/>
    <n v="10931477"/>
    <n v="-74782236"/>
    <d v="2023-04-21T00:00:00"/>
    <x v="3"/>
    <n v="1800000"/>
    <n v="647232"/>
    <n v="5"/>
    <x v="2"/>
    <n v="2800000"/>
    <s v="Referido"/>
    <x v="6"/>
    <s v="Femenino"/>
    <n v="46"/>
    <s v="Plan de alivio de pagos"/>
    <s v="Pequeña empresa"/>
    <n v="0"/>
    <n v="0"/>
    <s v="Itagüí"/>
    <s v="NO"/>
  </r>
  <r>
    <s v="CLI_0057"/>
    <x v="2"/>
    <s v="Antioquia"/>
    <n v="610261"/>
    <n v="-7544259"/>
    <d v="2025-01-08T00:00:00"/>
    <x v="0"/>
    <n v="500000"/>
    <n v="223620"/>
    <n v="5"/>
    <x v="2"/>
    <n v="2000000"/>
    <s v="Digital"/>
    <x v="0"/>
    <s v="Femenino"/>
    <n v="48"/>
    <s v="Plan de alivio de pagos"/>
    <s v="Pequeña empresa"/>
    <n v="0"/>
    <n v="0"/>
    <s v="Bello"/>
    <s v="NO"/>
  </r>
  <r>
    <s v="CLI_0058"/>
    <x v="2"/>
    <s v="Antioquia"/>
    <n v="6222626"/>
    <n v="-75328548"/>
    <d v="2026-02-18T00:00:00"/>
    <x v="3"/>
    <n v="4000000"/>
    <n v="2405285"/>
    <n v="30"/>
    <x v="1"/>
    <n v="1300000"/>
    <s v="Feria empresarial"/>
    <x v="6"/>
    <s v="Femenino"/>
    <n v="38"/>
    <s v="Reestructuración de deuda"/>
    <s v="Microempresa"/>
    <n v="0"/>
    <n v="0"/>
    <s v="Itagüí"/>
    <s v="NO"/>
  </r>
  <r>
    <s v="CLI_0059"/>
    <x v="5"/>
    <s v="Antioquia"/>
    <n v="6266842"/>
    <n v="-75511179"/>
    <d v="2026-02-15T00:00:00"/>
    <x v="0"/>
    <n v="2500000"/>
    <n v="1841535"/>
    <n v="0"/>
    <x v="3"/>
    <n v="1600000"/>
    <s v="Feria empresarial"/>
    <x v="4"/>
    <s v="Femenino"/>
    <n v="49"/>
    <s v="Educación financiera + seguro"/>
    <s v="Pequeña empresa"/>
    <n v="0"/>
    <n v="0"/>
    <s v="Bucaramanga"/>
    <s v="NO"/>
  </r>
  <r>
    <s v="CLI_0060"/>
    <x v="4"/>
    <s v="Santander"/>
    <n v="7118307"/>
    <n v="-73189829"/>
    <d v="2025-01-03T00:00:00"/>
    <x v="3"/>
    <n v="500000"/>
    <n v="428005"/>
    <n v="15"/>
    <x v="0"/>
    <n v="2800000"/>
    <s v="Aliado comercial"/>
    <x v="8"/>
    <s v="Femenino"/>
    <n v="59"/>
    <s v="Plan de alivio de pagos"/>
    <s v="Pequeña empresa"/>
    <n v="0"/>
    <n v="0"/>
    <s v="Medellín"/>
    <s v="NO"/>
  </r>
  <r>
    <s v="CLI_0061"/>
    <x v="7"/>
    <s v="Cundinamarca"/>
    <n v="47232"/>
    <n v="-74030003"/>
    <d v="2024-10-14T00:00:00"/>
    <x v="1"/>
    <n v="800000"/>
    <n v="399941"/>
    <n v="5"/>
    <x v="4"/>
    <n v="1600000"/>
    <s v="Digital"/>
    <x v="1"/>
    <s v="Femenino"/>
    <n v="63"/>
    <s v="Plan de alivio de pagos"/>
    <s v="Pequeña empresa"/>
    <n v="0"/>
    <n v="0"/>
    <s v="Soacha"/>
    <s v="NO"/>
  </r>
  <r>
    <s v="CLI_0062"/>
    <x v="8"/>
    <s v="Valle del Cauca"/>
    <n v="3424929"/>
    <n v="-76504779"/>
    <d v="2025-11-13T00:00:00"/>
    <x v="2"/>
    <n v="6000000"/>
    <n v="1420207"/>
    <n v="0"/>
    <x v="3"/>
    <n v="2000000"/>
    <s v="Referido"/>
    <x v="1"/>
    <s v="Masculino"/>
    <n v="33"/>
    <s v="Ampliación de cupo"/>
    <s v="Pequeña empresa"/>
    <n v="0"/>
    <n v="0"/>
    <s v="Soacha"/>
    <s v="NO"/>
  </r>
  <r>
    <s v="CLI_0063"/>
    <x v="7"/>
    <s v="Cundinamarca"/>
    <n v="4682724"/>
    <n v="-7399687"/>
    <d v="2026-07-02T00:00:00"/>
    <x v="3"/>
    <n v="1800000"/>
    <n v="1503313"/>
    <n v="30"/>
    <x v="0"/>
    <n v="900000"/>
    <s v="Feria empresarial"/>
    <x v="7"/>
    <s v="Femenino"/>
    <n v="38"/>
    <s v="Reestructuración de deuda"/>
    <s v="Microempresa"/>
    <n v="0"/>
    <n v="0"/>
    <s v="Pereira"/>
    <s v="NO"/>
  </r>
  <r>
    <s v="CLI_0064"/>
    <x v="3"/>
    <s v="Atlántico"/>
    <n v="10983965"/>
    <n v="-74754802"/>
    <d v="2026-12-16T00:00:00"/>
    <x v="2"/>
    <n v="800000"/>
    <n v="261598"/>
    <n v="0"/>
    <x v="4"/>
    <n v="1600000"/>
    <s v="Aliado comercial"/>
    <x v="2"/>
    <s v="Femenino"/>
    <n v="24"/>
    <s v="Ampliación de cupo"/>
    <s v="Pequeña empresa"/>
    <n v="0"/>
    <n v="0"/>
    <s v="Rionegro"/>
    <s v="NO"/>
  </r>
  <r>
    <s v="CLI_0065"/>
    <x v="6"/>
    <s v="Antioquia"/>
    <n v="614162"/>
    <n v="-75690012"/>
    <d v="2026-02-21T00:00:00"/>
    <x v="3"/>
    <n v="1800000"/>
    <n v="322610"/>
    <n v="120"/>
    <x v="3"/>
    <n v="900000"/>
    <s v="Feria empresarial"/>
    <x v="4"/>
    <s v="Femenino"/>
    <n v="59"/>
    <s v="Reestructuración de deuda"/>
    <s v="Microempresa"/>
    <n v="322610"/>
    <n v="1"/>
    <s v="Bucaramanga"/>
    <s v="NO"/>
  </r>
  <r>
    <s v="CLI_0066"/>
    <x v="7"/>
    <s v="Cundinamarca"/>
    <n v="4697478"/>
    <n v="-740749"/>
    <d v="2024-10-17T00:00:00"/>
    <x v="3"/>
    <n v="1800000"/>
    <n v="552908"/>
    <n v="0"/>
    <x v="4"/>
    <n v="2000000"/>
    <s v="Feria empresarial"/>
    <x v="3"/>
    <s v="Masculino"/>
    <n v="28"/>
    <s v="Ampliación de cupo"/>
    <s v="Pequeña empresa"/>
    <n v="0"/>
    <n v="0"/>
    <s v="Cali"/>
    <s v="NO"/>
  </r>
  <r>
    <s v="CLI_0067"/>
    <x v="0"/>
    <s v="Cundinamarca"/>
    <n v="464878"/>
    <n v="-74215362"/>
    <d v="2026-03-15T00:00:00"/>
    <x v="1"/>
    <n v="6000000"/>
    <n v="613083"/>
    <n v="15"/>
    <x v="2"/>
    <n v="2800000"/>
    <s v="Feria empresarial"/>
    <x v="4"/>
    <s v="Femenino"/>
    <n v="64"/>
    <s v="Plan de alivio de pagos"/>
    <s v="Pequeña empresa"/>
    <n v="0"/>
    <n v="0"/>
    <s v="Bucaramanga"/>
    <s v="NO"/>
  </r>
  <r>
    <s v="CLI_0068"/>
    <x v="4"/>
    <s v="Santander"/>
    <n v="7099654"/>
    <n v="-73053444"/>
    <d v="2026-04-28T00:00:00"/>
    <x v="1"/>
    <n v="6000000"/>
    <n v="1562127"/>
    <n v="5"/>
    <x v="4"/>
    <n v="2800000"/>
    <s v="Feria empresarial"/>
    <x v="5"/>
    <s v="Femenino"/>
    <n v="40"/>
    <s v="Plan de alivio de pagos"/>
    <s v="Pequeña empresa"/>
    <n v="0"/>
    <n v="0"/>
    <s v="Barranquilla"/>
    <s v="NO"/>
  </r>
  <r>
    <s v="CLI_0069"/>
    <x v="8"/>
    <s v="Valle del Cauca"/>
    <n v="3433373"/>
    <n v="-7650581"/>
    <d v="2024-09-19T00:00:00"/>
    <x v="0"/>
    <n v="6000000"/>
    <n v="3925297"/>
    <n v="0"/>
    <x v="4"/>
    <n v="900000"/>
    <s v="Digital"/>
    <x v="0"/>
    <s v="Femenino"/>
    <n v="26"/>
    <s v="Educación financiera + seguro"/>
    <s v="Microempresa"/>
    <n v="0"/>
    <n v="0"/>
    <s v="Bello"/>
    <s v="NO"/>
  </r>
  <r>
    <s v="CLI_0070"/>
    <x v="4"/>
    <s v="Santander"/>
    <n v="7184971"/>
    <n v="-73200244"/>
    <d v="2023-08-26T00:00:00"/>
    <x v="0"/>
    <n v="800000"/>
    <n v="358785"/>
    <n v="5"/>
    <x v="2"/>
    <n v="1300000"/>
    <s v="Aliado comercial"/>
    <x v="3"/>
    <s v="Femenino"/>
    <n v="32"/>
    <s v="Plan de alivio de pagos"/>
    <s v="Microempresa"/>
    <n v="0"/>
    <n v="0"/>
    <s v="Cali"/>
    <s v="NO"/>
  </r>
  <r>
    <s v="CLI_0071"/>
    <x v="5"/>
    <s v="Antioquia"/>
    <n v="6393582"/>
    <n v="-75501625"/>
    <d v="2026-09-02T00:00:00"/>
    <x v="2"/>
    <n v="6000000"/>
    <n v="3321474"/>
    <n v="90"/>
    <x v="1"/>
    <n v="3500000"/>
    <s v="Feria empresarial"/>
    <x v="2"/>
    <s v="Femenino"/>
    <n v="22"/>
    <s v="Reestructuración de deuda"/>
    <s v="Mediana empresa"/>
    <n v="3321474"/>
    <n v="1"/>
    <s v="Rionegro"/>
    <s v="NO"/>
  </r>
  <r>
    <s v="CLI_0072"/>
    <x v="5"/>
    <s v="Antioquia"/>
    <n v="6326735"/>
    <n v="-75622249"/>
    <d v="2025-01-02T00:00:00"/>
    <x v="0"/>
    <n v="4000000"/>
    <n v="2793229"/>
    <n v="0"/>
    <x v="4"/>
    <n v="1300000"/>
    <s v="Feria empresarial"/>
    <x v="1"/>
    <s v="Femenino"/>
    <n v="61"/>
    <s v="Educación financiera + seguro"/>
    <s v="Microempresa"/>
    <n v="0"/>
    <n v="0"/>
    <s v="Soacha"/>
    <s v="NO"/>
  </r>
  <r>
    <s v="CLI_0073"/>
    <x v="0"/>
    <s v="Cundinamarca"/>
    <n v="456821"/>
    <n v="-74257528"/>
    <d v="2024-02-20T00:00:00"/>
    <x v="1"/>
    <n v="1800000"/>
    <n v="1045870"/>
    <n v="30"/>
    <x v="0"/>
    <n v="1300000"/>
    <s v="Visita en zona"/>
    <x v="5"/>
    <s v="Femenino"/>
    <n v="35"/>
    <s v="Reestructuración de deuda"/>
    <s v="Microempresa"/>
    <n v="0"/>
    <n v="0"/>
    <s v="Barranquilla"/>
    <s v="NO"/>
  </r>
  <r>
    <s v="CLI_0074"/>
    <x v="9"/>
    <s v="Risaralda"/>
    <n v="4757199"/>
    <n v="-75700816"/>
    <d v="2025-11-18T00:00:00"/>
    <x v="3"/>
    <n v="1200000"/>
    <n v="588762"/>
    <n v="5"/>
    <x v="4"/>
    <n v="2000000"/>
    <s v="Digital"/>
    <x v="1"/>
    <s v="Femenino"/>
    <n v="33"/>
    <s v="Plan de alivio de pagos"/>
    <s v="Pequeña empresa"/>
    <n v="0"/>
    <n v="0"/>
    <s v="Soacha"/>
    <s v="NO"/>
  </r>
  <r>
    <s v="CLI_0075"/>
    <x v="9"/>
    <s v="Risaralda"/>
    <n v="4782165"/>
    <n v="-75620675"/>
    <d v="2026-08-04T00:00:00"/>
    <x v="3"/>
    <n v="4000000"/>
    <n v="1250334"/>
    <n v="30"/>
    <x v="3"/>
    <n v="1300000"/>
    <s v="Aliado comercial"/>
    <x v="1"/>
    <s v="Masculino"/>
    <n v="47"/>
    <s v="Reestructuración de deuda"/>
    <s v="Microempresa"/>
    <n v="0"/>
    <n v="0"/>
    <s v="Soacha"/>
    <s v="NO"/>
  </r>
  <r>
    <s v="CLI_0076"/>
    <x v="9"/>
    <s v="Risaralda"/>
    <n v="478164"/>
    <n v="-75662715"/>
    <d v="2023-10-28T00:00:00"/>
    <x v="2"/>
    <n v="500000"/>
    <n v="465626"/>
    <n v="5"/>
    <x v="0"/>
    <n v="1600000"/>
    <s v="Digital"/>
    <x v="9"/>
    <s v="Femenino"/>
    <n v="42"/>
    <s v="Plan de alivio de pagos"/>
    <s v="Pequeña empresa"/>
    <n v="0"/>
    <n v="0"/>
    <s v="Bogotá"/>
    <s v="NO"/>
  </r>
  <r>
    <s v="CLI_0077"/>
    <x v="2"/>
    <s v="Antioquia"/>
    <n v="617193"/>
    <n v="-75398229"/>
    <d v="2024-11-04T00:00:00"/>
    <x v="2"/>
    <n v="4000000"/>
    <n v="1046449"/>
    <n v="0"/>
    <x v="2"/>
    <n v="3500000"/>
    <s v="Digital"/>
    <x v="8"/>
    <s v="Masculino"/>
    <n v="40"/>
    <s v="Ampliación de cupo"/>
    <s v="Mediana empresa"/>
    <n v="0"/>
    <n v="0"/>
    <s v="Medellín"/>
    <s v="NO"/>
  </r>
  <r>
    <s v="CLI_0078"/>
    <x v="9"/>
    <s v="Risaralda"/>
    <n v="4792678"/>
    <n v="-75753574"/>
    <d v="2024-09-12T00:00:00"/>
    <x v="0"/>
    <n v="1200000"/>
    <n v="453254"/>
    <n v="0"/>
    <x v="1"/>
    <n v="1300000"/>
    <s v="Feria empresarial"/>
    <x v="5"/>
    <s v="Femenino"/>
    <n v="52"/>
    <s v="Ampliación de cupo"/>
    <s v="Microempresa"/>
    <n v="0"/>
    <n v="0"/>
    <s v="Barranquilla"/>
    <s v="NO"/>
  </r>
  <r>
    <s v="CLI_0079"/>
    <x v="7"/>
    <s v="Cundinamarca"/>
    <n v="4750449"/>
    <n v="-74097906"/>
    <d v="2026-09-12T00:00:00"/>
    <x v="2"/>
    <n v="500000"/>
    <n v="249041"/>
    <n v="0"/>
    <x v="3"/>
    <n v="1300000"/>
    <s v="Referido"/>
    <x v="9"/>
    <s v="Femenino"/>
    <n v="25"/>
    <s v="Ampliación de cupo"/>
    <s v="Microempresa"/>
    <n v="0"/>
    <n v="0"/>
    <s v="Bogotá"/>
    <s v="SI"/>
  </r>
  <r>
    <s v="CLI_0080"/>
    <x v="4"/>
    <s v="Santander"/>
    <n v="7059074"/>
    <n v="-73143726"/>
    <d v="2025-02-22T00:00:00"/>
    <x v="3"/>
    <n v="4000000"/>
    <n v="2685959"/>
    <n v="0"/>
    <x v="3"/>
    <n v="3500000"/>
    <s v="Referido"/>
    <x v="7"/>
    <s v="Masculino"/>
    <n v="51"/>
    <s v="Educación financiera + seguro"/>
    <s v="Mediana empresa"/>
    <n v="0"/>
    <n v="0"/>
    <s v="Pereira"/>
    <s v="NO"/>
  </r>
  <r>
    <s v="CLI_0081"/>
    <x v="4"/>
    <s v="Santander"/>
    <n v="7091781"/>
    <n v="-73105087"/>
    <d v="2025-11-14T00:00:00"/>
    <x v="2"/>
    <n v="4000000"/>
    <n v="614938"/>
    <n v="30"/>
    <x v="1"/>
    <n v="3500000"/>
    <s v="Referido"/>
    <x v="8"/>
    <s v="Femenino"/>
    <n v="36"/>
    <s v="Reestructuración de deuda"/>
    <s v="Mediana empresa"/>
    <n v="0"/>
    <n v="0"/>
    <s v="Medellín"/>
    <s v="NO"/>
  </r>
  <r>
    <s v="CLI_0082"/>
    <x v="7"/>
    <s v="Cundinamarca"/>
    <n v="4790348"/>
    <n v="-74133521"/>
    <d v="2025-11-24T00:00:00"/>
    <x v="1"/>
    <n v="800000"/>
    <n v="683336"/>
    <n v="0"/>
    <x v="0"/>
    <n v="2000000"/>
    <s v="Visita en zona"/>
    <x v="3"/>
    <s v="Femenino"/>
    <n v="36"/>
    <s v="Educación financiera + seguro"/>
    <s v="Pequeña empresa"/>
    <n v="0"/>
    <n v="0"/>
    <s v="Cali"/>
    <s v="NO"/>
  </r>
  <r>
    <s v="CLI_0083"/>
    <x v="5"/>
    <s v="Antioquia"/>
    <n v="6390691"/>
    <n v="-75539496"/>
    <d v="2026-04-28T00:00:00"/>
    <x v="0"/>
    <n v="1200000"/>
    <n v="153371"/>
    <n v="0"/>
    <x v="4"/>
    <n v="2000000"/>
    <s v="Feria empresarial"/>
    <x v="4"/>
    <s v="Femenino"/>
    <n v="39"/>
    <s v="Ampliación de cupo"/>
    <s v="Pequeña empresa"/>
    <n v="0"/>
    <n v="0"/>
    <s v="Bucaramanga"/>
    <s v="NO"/>
  </r>
  <r>
    <s v="CLI_0084"/>
    <x v="0"/>
    <s v="Cundinamarca"/>
    <n v="4508988"/>
    <n v="-74252459"/>
    <d v="2024-11-21T00:00:00"/>
    <x v="2"/>
    <n v="500000"/>
    <n v="453330"/>
    <n v="30"/>
    <x v="4"/>
    <n v="900000"/>
    <s v="Feria empresarial"/>
    <x v="2"/>
    <s v="Femenino"/>
    <n v="25"/>
    <s v="Reestructuración de deuda"/>
    <s v="Microempresa"/>
    <n v="0"/>
    <n v="0"/>
    <s v="Rionegro"/>
    <s v="NO"/>
  </r>
  <r>
    <s v="CLI_0085"/>
    <x v="6"/>
    <s v="Antioquia"/>
    <n v="6217816"/>
    <n v="-75659367"/>
    <d v="2024-06-25T00:00:00"/>
    <x v="3"/>
    <n v="6000000"/>
    <n v="4502303"/>
    <n v="0"/>
    <x v="0"/>
    <n v="1300000"/>
    <s v="Referido"/>
    <x v="9"/>
    <s v="Femenino"/>
    <n v="32"/>
    <s v="Educación financiera + seguro"/>
    <s v="Microempresa"/>
    <n v="0"/>
    <n v="0"/>
    <s v="Bogotá"/>
    <s v="NO"/>
  </r>
  <r>
    <s v="CLI_0086"/>
    <x v="6"/>
    <s v="Antioquia"/>
    <n v="6249904"/>
    <n v="-75605766"/>
    <d v="2024-01-12T00:00:00"/>
    <x v="3"/>
    <n v="6000000"/>
    <n v="1489935"/>
    <n v="5"/>
    <x v="0"/>
    <n v="900000"/>
    <s v="Feria empresarial"/>
    <x v="8"/>
    <s v="Femenino"/>
    <n v="37"/>
    <s v="Plan de alivio de pagos"/>
    <s v="Microempresa"/>
    <n v="0"/>
    <n v="0"/>
    <s v="Medellín"/>
    <s v="NO"/>
  </r>
  <r>
    <s v="CLI_0087"/>
    <x v="6"/>
    <s v="Antioquia"/>
    <n v="6134359"/>
    <n v="-75671919"/>
    <d v="2026-06-17T00:00:00"/>
    <x v="2"/>
    <n v="1800000"/>
    <n v="984911"/>
    <n v="15"/>
    <x v="3"/>
    <n v="2000000"/>
    <s v="Aliado comercial"/>
    <x v="2"/>
    <s v="Femenino"/>
    <n v="61"/>
    <s v="Plan de alivio de pagos"/>
    <s v="Pequeña empresa"/>
    <n v="0"/>
    <n v="0"/>
    <s v="Rionegro"/>
    <s v="NO"/>
  </r>
  <r>
    <s v="CLI_0088"/>
    <x v="9"/>
    <s v="Risaralda"/>
    <n v="4741238"/>
    <n v="-75649284"/>
    <d v="2023-01-16T00:00:00"/>
    <x v="1"/>
    <n v="6000000"/>
    <n v="3960406"/>
    <n v="0"/>
    <x v="3"/>
    <n v="3500000"/>
    <s v="Referido"/>
    <x v="5"/>
    <s v="Femenino"/>
    <n v="34"/>
    <s v="Educación financiera + seguro"/>
    <s v="Mediana empresa"/>
    <n v="0"/>
    <n v="0"/>
    <s v="Barranquilla"/>
    <s v="NO"/>
  </r>
  <r>
    <s v="CLI_0089"/>
    <x v="3"/>
    <s v="Atlántico"/>
    <n v="10895659"/>
    <n v="-74863474"/>
    <d v="2025-07-20T00:00:00"/>
    <x v="0"/>
    <n v="2500000"/>
    <n v="565209"/>
    <n v="0"/>
    <x v="3"/>
    <n v="2800000"/>
    <s v="Aliado comercial"/>
    <x v="7"/>
    <s v="Masculino"/>
    <n v="50"/>
    <s v="Ampliación de cupo"/>
    <s v="Pequeña empresa"/>
    <n v="0"/>
    <n v="0"/>
    <s v="Pereira"/>
    <s v="NO"/>
  </r>
  <r>
    <s v="CLI_0090"/>
    <x v="8"/>
    <s v="Valle del Cauca"/>
    <n v="3387469"/>
    <n v="-76499715"/>
    <d v="2024-07-15T00:00:00"/>
    <x v="3"/>
    <n v="6000000"/>
    <n v="3939036"/>
    <n v="45"/>
    <x v="3"/>
    <n v="2800000"/>
    <s v="Feria empresarial"/>
    <x v="5"/>
    <s v="Masculino"/>
    <n v="64"/>
    <s v="Reestructuración de deuda"/>
    <s v="Pequeña empresa"/>
    <n v="3939036"/>
    <n v="1"/>
    <s v="Barranquilla"/>
    <s v="NO"/>
  </r>
  <r>
    <s v="CLI_0091"/>
    <x v="8"/>
    <s v="Valle del Cauca"/>
    <n v="3438158"/>
    <n v="-76596786"/>
    <d v="2026-02-03T00:00:00"/>
    <x v="2"/>
    <n v="1800000"/>
    <n v="658161"/>
    <n v="0"/>
    <x v="4"/>
    <n v="1300000"/>
    <s v="Digital"/>
    <x v="0"/>
    <s v="Femenino"/>
    <n v="56"/>
    <s v="Ampliación de cupo"/>
    <s v="Microempresa"/>
    <n v="0"/>
    <n v="0"/>
    <s v="Bello"/>
    <s v="NO"/>
  </r>
  <r>
    <s v="CLI_0092"/>
    <x v="0"/>
    <s v="Cundinamarca"/>
    <n v="4629183"/>
    <n v="-74207581"/>
    <d v="2023-07-12T00:00:00"/>
    <x v="1"/>
    <n v="2500000"/>
    <n v="2282827"/>
    <n v="0"/>
    <x v="4"/>
    <n v="3500000"/>
    <s v="Feria empresarial"/>
    <x v="7"/>
    <s v="Masculino"/>
    <n v="42"/>
    <s v="Educación financiera + seguro"/>
    <s v="Mediana empresa"/>
    <n v="0"/>
    <n v="0"/>
    <s v="Pereira"/>
    <s v="NO"/>
  </r>
  <r>
    <s v="CLI_0093"/>
    <x v="7"/>
    <s v="Cundinamarca"/>
    <n v="4687263"/>
    <n v="-74059633"/>
    <d v="2025-09-12T00:00:00"/>
    <x v="2"/>
    <n v="800000"/>
    <n v="185217"/>
    <n v="0"/>
    <x v="2"/>
    <n v="900000"/>
    <s v="Aliado comercial"/>
    <x v="2"/>
    <s v="Masculino"/>
    <n v="30"/>
    <s v="Ampliación de cupo"/>
    <s v="Microempresa"/>
    <n v="0"/>
    <n v="0"/>
    <s v="Rionegro"/>
    <s v="NO"/>
  </r>
  <r>
    <s v="CLI_0094"/>
    <x v="8"/>
    <s v="Valle del Cauca"/>
    <n v="3506825"/>
    <n v="-76456073"/>
    <d v="2023-10-22T00:00:00"/>
    <x v="0"/>
    <n v="6000000"/>
    <n v="3770791"/>
    <n v="5"/>
    <x v="4"/>
    <n v="2800000"/>
    <s v="Visita en zona"/>
    <x v="9"/>
    <s v="Masculino"/>
    <n v="54"/>
    <s v="Plan de alivio de pagos"/>
    <s v="Pequeña empresa"/>
    <n v="0"/>
    <n v="0"/>
    <s v="Bogotá"/>
    <s v="NO"/>
  </r>
  <r>
    <s v="CLI_0095"/>
    <x v="7"/>
    <s v="Cundinamarca"/>
    <n v="4778446"/>
    <n v="-74095936"/>
    <d v="2023-03-24T00:00:00"/>
    <x v="2"/>
    <n v="800000"/>
    <n v="671507"/>
    <n v="0"/>
    <x v="4"/>
    <n v="2000000"/>
    <s v="Aliado comercial"/>
    <x v="2"/>
    <s v="Masculino"/>
    <n v="57"/>
    <s v="Educación financiera + seguro"/>
    <s v="Pequeña empresa"/>
    <n v="0"/>
    <n v="0"/>
    <s v="Rionegro"/>
    <s v="NO"/>
  </r>
  <r>
    <s v="CLI_0096"/>
    <x v="8"/>
    <s v="Valle del Cauca"/>
    <n v="3438773"/>
    <n v="-76557457"/>
    <d v="2023-01-05T00:00:00"/>
    <x v="3"/>
    <n v="1200000"/>
    <n v="437870"/>
    <n v="0"/>
    <x v="0"/>
    <n v="2800000"/>
    <s v="Referido"/>
    <x v="0"/>
    <s v="Masculino"/>
    <n v="61"/>
    <s v="Ampliación de cupo"/>
    <s v="Pequeña empresa"/>
    <n v="0"/>
    <n v="0"/>
    <s v="Bello"/>
    <s v="NO"/>
  </r>
  <r>
    <s v="CLI_0097"/>
    <x v="7"/>
    <s v="Cundinamarca"/>
    <n v="4701898"/>
    <n v="-74084258"/>
    <d v="2023-06-14T00:00:00"/>
    <x v="2"/>
    <n v="2500000"/>
    <n v="1189344"/>
    <n v="0"/>
    <x v="2"/>
    <n v="2800000"/>
    <s v="Aliado comercial"/>
    <x v="5"/>
    <s v="Femenino"/>
    <n v="57"/>
    <s v="Ampliación de cupo"/>
    <s v="Pequeña empresa"/>
    <n v="0"/>
    <n v="0"/>
    <s v="Barranquilla"/>
    <s v="NO"/>
  </r>
  <r>
    <s v="CLI_0098"/>
    <x v="4"/>
    <s v="Santander"/>
    <n v="7146041"/>
    <n v="-73195433"/>
    <d v="2025-04-25T00:00:00"/>
    <x v="3"/>
    <n v="1800000"/>
    <n v="1686202"/>
    <n v="0"/>
    <x v="2"/>
    <n v="1300000"/>
    <s v="Feria empresarial"/>
    <x v="1"/>
    <s v="Femenino"/>
    <n v="60"/>
    <s v="Educación financiera + seguro"/>
    <s v="Microempresa"/>
    <n v="0"/>
    <n v="0"/>
    <s v="Soacha"/>
    <s v="NO"/>
  </r>
  <r>
    <s v="CLI_0099"/>
    <x v="5"/>
    <s v="Antioquia"/>
    <n v="6258537"/>
    <n v="-75518478"/>
    <d v="2025-02-13T00:00:00"/>
    <x v="2"/>
    <n v="800000"/>
    <n v="167846"/>
    <n v="0"/>
    <x v="3"/>
    <n v="1300000"/>
    <s v="Referido"/>
    <x v="5"/>
    <s v="Femenino"/>
    <n v="36"/>
    <s v="Ampliación de cupo"/>
    <s v="Microempresa"/>
    <n v="0"/>
    <n v="0"/>
    <s v="Barranquilla"/>
    <s v="NO"/>
  </r>
  <r>
    <s v="CLI_0100"/>
    <x v="5"/>
    <s v="Antioquia"/>
    <n v="6395238"/>
    <n v="-75545879"/>
    <d v="2023-07-01T00:00:00"/>
    <x v="0"/>
    <n v="2500000"/>
    <n v="1109399"/>
    <n v="5"/>
    <x v="1"/>
    <n v="1600000"/>
    <s v="Aliado comercial"/>
    <x v="5"/>
    <s v="Femenino"/>
    <n v="32"/>
    <s v="Plan de alivio de pagos"/>
    <s v="Pequeña empresa"/>
    <n v="0"/>
    <n v="0"/>
    <s v="Barranquilla"/>
    <s v="NO"/>
  </r>
  <r>
    <s v="CLI_0101"/>
    <x v="0"/>
    <s v="Cundinamarca"/>
    <n v="4513401"/>
    <n v="-74161483"/>
    <d v="2026-05-24T00:00:00"/>
    <x v="0"/>
    <n v="800000"/>
    <n v="376260"/>
    <n v="0"/>
    <x v="1"/>
    <n v="900000"/>
    <s v="Feria empresarial"/>
    <x v="6"/>
    <s v="Masculino"/>
    <n v="50"/>
    <s v="Ampliación de cupo"/>
    <s v="Microempresa"/>
    <n v="0"/>
    <n v="0"/>
    <s v="Itagüí"/>
    <s v="NO"/>
  </r>
  <r>
    <s v="CLI_0102"/>
    <x v="5"/>
    <s v="Antioquia"/>
    <n v="6338977"/>
    <n v="-75619756"/>
    <d v="2024-04-04T00:00:00"/>
    <x v="3"/>
    <n v="2500000"/>
    <n v="662045"/>
    <n v="15"/>
    <x v="2"/>
    <n v="1600000"/>
    <s v="Visita en zona"/>
    <x v="6"/>
    <s v="Femenino"/>
    <n v="41"/>
    <s v="Plan de alivio de pagos"/>
    <s v="Pequeña empresa"/>
    <n v="0"/>
    <n v="0"/>
    <s v="Itagüí"/>
    <s v="NO"/>
  </r>
  <r>
    <s v="CLI_0103"/>
    <x v="9"/>
    <s v="Risaralda"/>
    <n v="4758759"/>
    <n v="-75653136"/>
    <d v="2026-10-25T00:00:00"/>
    <x v="1"/>
    <n v="500000"/>
    <n v="125287"/>
    <n v="15"/>
    <x v="0"/>
    <n v="2000000"/>
    <s v="Aliado comercial"/>
    <x v="1"/>
    <s v="Femenino"/>
    <n v="39"/>
    <s v="Plan de alivio de pagos"/>
    <s v="Pequeña empresa"/>
    <n v="0"/>
    <n v="0"/>
    <s v="Soacha"/>
    <s v="NO"/>
  </r>
  <r>
    <s v="CLI_0104"/>
    <x v="0"/>
    <s v="Cundinamarca"/>
    <n v="4523453"/>
    <n v="-74285674"/>
    <d v="2023-06-17T00:00:00"/>
    <x v="2"/>
    <n v="1800000"/>
    <n v="1146019"/>
    <n v="30"/>
    <x v="2"/>
    <n v="2800000"/>
    <s v="Digital"/>
    <x v="5"/>
    <s v="Femenino"/>
    <n v="61"/>
    <s v="Reestructuración de deuda"/>
    <s v="Pequeña empresa"/>
    <n v="0"/>
    <n v="0"/>
    <s v="Barranquilla"/>
    <s v="NO"/>
  </r>
  <r>
    <s v="CLI_0105"/>
    <x v="1"/>
    <s v="Antioquia"/>
    <n v="6173302"/>
    <n v="-75528129"/>
    <d v="2026-08-19T00:00:00"/>
    <x v="2"/>
    <n v="500000"/>
    <n v="323983"/>
    <n v="90"/>
    <x v="3"/>
    <n v="900000"/>
    <s v="Aliado comercial"/>
    <x v="2"/>
    <s v="Masculino"/>
    <n v="34"/>
    <s v="Reestructuración de deuda"/>
    <s v="Microempresa"/>
    <n v="323983"/>
    <n v="1"/>
    <s v="Rionegro"/>
    <s v="NO"/>
  </r>
  <r>
    <s v="CLI_0106"/>
    <x v="0"/>
    <s v="Cundinamarca"/>
    <n v="4596101"/>
    <n v="-74216381"/>
    <d v="2023-09-21T00:00:00"/>
    <x v="3"/>
    <n v="500000"/>
    <n v="241472"/>
    <n v="30"/>
    <x v="4"/>
    <n v="1600000"/>
    <s v="Visita en zona"/>
    <x v="5"/>
    <s v="Femenino"/>
    <n v="40"/>
    <s v="Reestructuración de deuda"/>
    <s v="Pequeña empresa"/>
    <n v="0"/>
    <n v="0"/>
    <s v="Barranquilla"/>
    <s v="NO"/>
  </r>
  <r>
    <s v="CLI_0107"/>
    <x v="3"/>
    <s v="Atlántico"/>
    <n v="10967751"/>
    <n v="-74778831"/>
    <d v="2025-11-20T00:00:00"/>
    <x v="2"/>
    <n v="1200000"/>
    <n v="500309"/>
    <n v="0"/>
    <x v="2"/>
    <n v="2000000"/>
    <s v="Referido"/>
    <x v="1"/>
    <s v="Masculino"/>
    <n v="35"/>
    <s v="Ampliación de cupo"/>
    <s v="Pequeña empresa"/>
    <n v="0"/>
    <n v="0"/>
    <s v="Soacha"/>
    <s v="NO"/>
  </r>
  <r>
    <s v="CLI_0108"/>
    <x v="5"/>
    <s v="Antioquia"/>
    <n v="6346574"/>
    <n v="-7557615"/>
    <d v="2024-06-03T00:00:00"/>
    <x v="3"/>
    <n v="1200000"/>
    <n v="858208"/>
    <n v="5"/>
    <x v="2"/>
    <n v="2800000"/>
    <s v="Feria empresarial"/>
    <x v="3"/>
    <s v="Masculino"/>
    <n v="31"/>
    <s v="Plan de alivio de pagos"/>
    <s v="Pequeña empresa"/>
    <n v="0"/>
    <n v="0"/>
    <s v="Cali"/>
    <s v="NO"/>
  </r>
  <r>
    <s v="CLI_0109"/>
    <x v="6"/>
    <s v="Antioquia"/>
    <n v="6187107"/>
    <n v="-7554212"/>
    <d v="2024-11-23T00:00:00"/>
    <x v="2"/>
    <n v="1200000"/>
    <n v="690101"/>
    <n v="5"/>
    <x v="3"/>
    <n v="1600000"/>
    <s v="Aliado comercial"/>
    <x v="1"/>
    <s v="Masculino"/>
    <n v="48"/>
    <s v="Plan de alivio de pagos"/>
    <s v="Pequeña empresa"/>
    <n v="0"/>
    <n v="0"/>
    <s v="Soacha"/>
    <s v="NO"/>
  </r>
  <r>
    <s v="CLI_0110"/>
    <x v="1"/>
    <s v="Antioquia"/>
    <n v="6222216"/>
    <n v="-75632358"/>
    <d v="2024-03-05T00:00:00"/>
    <x v="2"/>
    <n v="800000"/>
    <n v="312378"/>
    <n v="15"/>
    <x v="2"/>
    <n v="1300000"/>
    <s v="Referido"/>
    <x v="4"/>
    <s v="Femenino"/>
    <n v="45"/>
    <s v="Plan de alivio de pagos"/>
    <s v="Microempresa"/>
    <n v="0"/>
    <n v="0"/>
    <s v="Bucaramanga"/>
    <s v="NO"/>
  </r>
  <r>
    <s v="CLI_0111"/>
    <x v="4"/>
    <s v="Santander"/>
    <n v="7172919"/>
    <n v="-73061311"/>
    <d v="2024-10-13T00:00:00"/>
    <x v="3"/>
    <n v="500000"/>
    <n v="331320"/>
    <n v="45"/>
    <x v="1"/>
    <n v="2800000"/>
    <s v="Visita en zona"/>
    <x v="7"/>
    <s v="Masculino"/>
    <n v="29"/>
    <s v="Reestructuración de deuda"/>
    <s v="Pequeña empresa"/>
    <n v="331320"/>
    <n v="1"/>
    <s v="Pereira"/>
    <s v="NO"/>
  </r>
  <r>
    <s v="CLI_0112"/>
    <x v="6"/>
    <s v="Antioquia"/>
    <n v="6207289"/>
    <n v="-75685209"/>
    <d v="2025-12-26T00:00:00"/>
    <x v="1"/>
    <n v="1200000"/>
    <n v="809890"/>
    <n v="0"/>
    <x v="1"/>
    <n v="2000000"/>
    <s v="Aliado comercial"/>
    <x v="2"/>
    <s v="Femenino"/>
    <n v="61"/>
    <s v="Educación financiera + seguro"/>
    <s v="Pequeña empresa"/>
    <n v="0"/>
    <n v="0"/>
    <s v="Rionegro"/>
    <s v="NO"/>
  </r>
  <r>
    <s v="CLI_0113"/>
    <x v="7"/>
    <s v="Cundinamarca"/>
    <n v="4785495"/>
    <n v="-74026601"/>
    <d v="2026-08-25T00:00:00"/>
    <x v="0"/>
    <n v="6000000"/>
    <n v="1589482"/>
    <n v="5"/>
    <x v="3"/>
    <n v="2800000"/>
    <s v="Aliado comercial"/>
    <x v="4"/>
    <s v="Femenino"/>
    <n v="57"/>
    <s v="Plan de alivio de pagos"/>
    <s v="Pequeña empresa"/>
    <n v="0"/>
    <n v="0"/>
    <s v="Bucaramanga"/>
    <s v="NO"/>
  </r>
  <r>
    <s v="CLI_0114"/>
    <x v="8"/>
    <s v="Valle del Cauca"/>
    <n v="3526203"/>
    <n v="-76481297"/>
    <d v="2026-06-18T00:00:00"/>
    <x v="2"/>
    <n v="6000000"/>
    <n v="3683784"/>
    <n v="45"/>
    <x v="0"/>
    <n v="900000"/>
    <s v="Referido"/>
    <x v="9"/>
    <s v="Femenino"/>
    <n v="51"/>
    <s v="Reestructuración de deuda"/>
    <s v="Microempresa"/>
    <n v="3683784"/>
    <n v="1"/>
    <s v="Bogotá"/>
    <s v="NO"/>
  </r>
  <r>
    <s v="CLI_0115"/>
    <x v="5"/>
    <s v="Antioquia"/>
    <n v="6379399"/>
    <n v="-75594353"/>
    <d v="2026-06-01T00:00:00"/>
    <x v="1"/>
    <n v="2500000"/>
    <n v="563116"/>
    <n v="0"/>
    <x v="4"/>
    <n v="1300000"/>
    <s v="Digital"/>
    <x v="4"/>
    <s v="Femenino"/>
    <n v="30"/>
    <s v="Ampliación de cupo"/>
    <s v="Microempresa"/>
    <n v="0"/>
    <n v="0"/>
    <s v="Bucaramanga"/>
    <s v="NO"/>
  </r>
  <r>
    <s v="CLI_0116"/>
    <x v="0"/>
    <s v="Cundinamarca"/>
    <n v="4537024"/>
    <n v="-74137476"/>
    <d v="2025-03-05T00:00:00"/>
    <x v="2"/>
    <n v="1200000"/>
    <n v="349030"/>
    <n v="0"/>
    <x v="2"/>
    <n v="900000"/>
    <s v="Digital"/>
    <x v="6"/>
    <s v="Femenino"/>
    <n v="41"/>
    <s v="Ampliación de cupo"/>
    <s v="Microempresa"/>
    <n v="0"/>
    <n v="0"/>
    <s v="Itagüí"/>
    <s v="NO"/>
  </r>
  <r>
    <s v="CLI_0117"/>
    <x v="3"/>
    <s v="Atlántico"/>
    <n v="10955676"/>
    <n v="-7487556"/>
    <d v="2026-02-25T00:00:00"/>
    <x v="0"/>
    <n v="500000"/>
    <n v="58077"/>
    <n v="0"/>
    <x v="1"/>
    <n v="1300000"/>
    <s v="Feria empresarial"/>
    <x v="0"/>
    <s v="Masculino"/>
    <n v="41"/>
    <s v="Ampliación de cupo"/>
    <s v="Microempresa"/>
    <n v="0"/>
    <n v="0"/>
    <s v="Bello"/>
    <s v="NO"/>
  </r>
  <r>
    <s v="CLI_0118"/>
    <x v="1"/>
    <s v="Antioquia"/>
    <n v="620235"/>
    <n v="-75558968"/>
    <d v="2023-11-17T00:00:00"/>
    <x v="3"/>
    <n v="2500000"/>
    <n v="1221366"/>
    <n v="0"/>
    <x v="1"/>
    <n v="2000000"/>
    <s v="Feria empresarial"/>
    <x v="3"/>
    <s v="Femenino"/>
    <n v="44"/>
    <s v="Ampliación de cupo"/>
    <s v="Pequeña empresa"/>
    <n v="0"/>
    <n v="0"/>
    <s v="Cali"/>
    <s v="NO"/>
  </r>
  <r>
    <s v="CLI_0119"/>
    <x v="1"/>
    <s v="Antioquia"/>
    <n v="626257"/>
    <n v="-7562271"/>
    <d v="2025-02-17T00:00:00"/>
    <x v="2"/>
    <n v="1800000"/>
    <n v="466590"/>
    <n v="5"/>
    <x v="3"/>
    <n v="2800000"/>
    <s v="Digital"/>
    <x v="8"/>
    <s v="Masculino"/>
    <n v="40"/>
    <s v="Plan de alivio de pagos"/>
    <s v="Pequeña empresa"/>
    <n v="0"/>
    <n v="0"/>
    <s v="Medellín"/>
    <s v="SI"/>
  </r>
  <r>
    <s v="CLI_0120"/>
    <x v="8"/>
    <s v="Valle del Cauca"/>
    <n v="3528566"/>
    <n v="-76571416"/>
    <d v="2023-10-24T00:00:00"/>
    <x v="0"/>
    <n v="500000"/>
    <n v="201765"/>
    <n v="0"/>
    <x v="1"/>
    <n v="1300000"/>
    <s v="Referido"/>
    <x v="1"/>
    <s v="Femenino"/>
    <n v="21"/>
    <s v="Ampliación de cupo"/>
    <s v="Microempresa"/>
    <n v="0"/>
    <n v="0"/>
    <s v="Soacha"/>
    <s v="NO"/>
  </r>
  <r>
    <s v="CLI_0121"/>
    <x v="4"/>
    <s v="Santander"/>
    <n v="7093468"/>
    <n v="-73099853"/>
    <d v="2026-11-06T00:00:00"/>
    <x v="3"/>
    <n v="6000000"/>
    <n v="4573627"/>
    <n v="0"/>
    <x v="4"/>
    <n v="3500000"/>
    <s v="Digital"/>
    <x v="8"/>
    <s v="Masculino"/>
    <n v="21"/>
    <s v="Educación financiera + seguro"/>
    <s v="Mediana empresa"/>
    <n v="0"/>
    <n v="0"/>
    <s v="Medellín"/>
    <s v="NO"/>
  </r>
  <r>
    <s v="CLI_0122"/>
    <x v="7"/>
    <s v="Cundinamarca"/>
    <n v="4663255"/>
    <n v="-74025523"/>
    <d v="2026-05-02T00:00:00"/>
    <x v="3"/>
    <n v="500000"/>
    <n v="184128"/>
    <n v="0"/>
    <x v="2"/>
    <n v="2000000"/>
    <s v="Feria empresarial"/>
    <x v="8"/>
    <s v="Masculino"/>
    <n v="21"/>
    <s v="Ampliación de cupo"/>
    <s v="Pequeña empresa"/>
    <n v="0"/>
    <n v="0"/>
    <s v="Medellín"/>
    <s v="NO"/>
  </r>
  <r>
    <s v="CLI_0123"/>
    <x v="0"/>
    <s v="Cundinamarca"/>
    <n v="4543015"/>
    <n v="-74168705"/>
    <d v="2025-03-16T00:00:00"/>
    <x v="1"/>
    <n v="1800000"/>
    <n v="1540914"/>
    <n v="15"/>
    <x v="2"/>
    <n v="2000000"/>
    <s v="Aliado comercial"/>
    <x v="9"/>
    <s v="Femenino"/>
    <n v="41"/>
    <s v="Plan de alivio de pagos"/>
    <s v="Pequeña empresa"/>
    <n v="0"/>
    <n v="0"/>
    <s v="Bogotá"/>
    <s v="NO"/>
  </r>
  <r>
    <s v="CLI_0124"/>
    <x v="5"/>
    <s v="Antioquia"/>
    <n v="6373633"/>
    <n v="-75625372"/>
    <d v="2025-02-03T00:00:00"/>
    <x v="0"/>
    <n v="2500000"/>
    <n v="2364584"/>
    <n v="0"/>
    <x v="2"/>
    <n v="1600000"/>
    <s v="Feria empresarial"/>
    <x v="5"/>
    <s v="Femenino"/>
    <n v="23"/>
    <s v="Educación financiera + seguro"/>
    <s v="Pequeña empresa"/>
    <n v="0"/>
    <n v="0"/>
    <s v="Barranquilla"/>
    <s v="NO"/>
  </r>
  <r>
    <s v="CLI_0125"/>
    <x v="9"/>
    <s v="Risaralda"/>
    <n v="4849126"/>
    <n v="-75747937"/>
    <d v="2026-05-21T00:00:00"/>
    <x v="2"/>
    <n v="1800000"/>
    <n v="717867"/>
    <n v="0"/>
    <x v="4"/>
    <n v="1600000"/>
    <s v="Digital"/>
    <x v="1"/>
    <s v="Masculino"/>
    <n v="34"/>
    <s v="Ampliación de cupo"/>
    <s v="Pequeña empresa"/>
    <n v="0"/>
    <n v="0"/>
    <s v="Soacha"/>
    <s v="NO"/>
  </r>
  <r>
    <s v="CLI_0126"/>
    <x v="4"/>
    <s v="Santander"/>
    <n v="7167475"/>
    <n v="-73093994"/>
    <d v="2023-03-03T00:00:00"/>
    <x v="3"/>
    <n v="500000"/>
    <n v="110681"/>
    <n v="5"/>
    <x v="2"/>
    <n v="2000000"/>
    <s v="Feria empresarial"/>
    <x v="3"/>
    <s v="Femenino"/>
    <n v="27"/>
    <s v="Plan de alivio de pagos"/>
    <s v="Pequeña empresa"/>
    <n v="0"/>
    <n v="0"/>
    <s v="Cali"/>
    <s v="NO"/>
  </r>
  <r>
    <s v="CLI_0127"/>
    <x v="9"/>
    <s v="Risaralda"/>
    <n v="4739482"/>
    <n v="-7575005"/>
    <d v="2024-09-12T00:00:00"/>
    <x v="1"/>
    <n v="1800000"/>
    <n v="1631700"/>
    <n v="0"/>
    <x v="2"/>
    <n v="900000"/>
    <s v="Feria empresarial"/>
    <x v="2"/>
    <s v="Femenino"/>
    <n v="62"/>
    <s v="Educación financiera + seguro"/>
    <s v="Microempresa"/>
    <n v="0"/>
    <n v="0"/>
    <s v="Rionegro"/>
    <s v="NO"/>
  </r>
  <r>
    <s v="CLI_0128"/>
    <x v="5"/>
    <s v="Antioquia"/>
    <n v="6261446"/>
    <n v="-75608232"/>
    <d v="2025-12-15T00:00:00"/>
    <x v="3"/>
    <n v="2500000"/>
    <n v="1072348"/>
    <n v="0"/>
    <x v="0"/>
    <n v="1600000"/>
    <s v="Feria empresarial"/>
    <x v="5"/>
    <s v="Masculino"/>
    <n v="27"/>
    <s v="Ampliación de cupo"/>
    <s v="Pequeña empresa"/>
    <n v="0"/>
    <n v="0"/>
    <s v="Barranquilla"/>
    <s v="NO"/>
  </r>
  <r>
    <s v="CLI_0129"/>
    <x v="2"/>
    <s v="Antioquia"/>
    <n v="6094422"/>
    <n v="-75318148"/>
    <d v="2025-11-12T00:00:00"/>
    <x v="2"/>
    <n v="1800000"/>
    <n v="444164"/>
    <n v="15"/>
    <x v="0"/>
    <n v="900000"/>
    <s v="Aliado comercial"/>
    <x v="9"/>
    <s v="Femenino"/>
    <n v="58"/>
    <s v="Plan de alivio de pagos"/>
    <s v="Microempresa"/>
    <n v="0"/>
    <n v="0"/>
    <s v="Bogotá"/>
    <s v="NO"/>
  </r>
  <r>
    <s v="CLI_0130"/>
    <x v="7"/>
    <s v="Cundinamarca"/>
    <n v="4767218"/>
    <n v="-74038211"/>
    <d v="2024-02-07T00:00:00"/>
    <x v="3"/>
    <n v="4000000"/>
    <n v="2568180"/>
    <n v="30"/>
    <x v="1"/>
    <n v="2800000"/>
    <s v="Digital"/>
    <x v="8"/>
    <s v="Femenino"/>
    <n v="57"/>
    <s v="Reestructuración de deuda"/>
    <s v="Pequeña empresa"/>
    <n v="0"/>
    <n v="0"/>
    <s v="Medellín"/>
    <s v="NO"/>
  </r>
  <r>
    <s v="CLI_0131"/>
    <x v="0"/>
    <s v="Cundinamarca"/>
    <n v="4587943"/>
    <n v="-74237574"/>
    <d v="2023-05-13T00:00:00"/>
    <x v="1"/>
    <n v="6000000"/>
    <n v="5613361"/>
    <n v="0"/>
    <x v="0"/>
    <n v="900000"/>
    <s v="Digital"/>
    <x v="3"/>
    <s v="Masculino"/>
    <n v="52"/>
    <s v="Educación financiera + seguro"/>
    <s v="Microempresa"/>
    <n v="0"/>
    <n v="0"/>
    <s v="Cali"/>
    <s v="NO"/>
  </r>
  <r>
    <s v="CLI_0132"/>
    <x v="9"/>
    <s v="Risaralda"/>
    <n v="47461"/>
    <n v="-75619019"/>
    <d v="2025-03-27T00:00:00"/>
    <x v="3"/>
    <n v="4000000"/>
    <n v="652161"/>
    <n v="0"/>
    <x v="1"/>
    <n v="2800000"/>
    <s v="Digital"/>
    <x v="4"/>
    <s v="Masculino"/>
    <n v="57"/>
    <s v="Ampliación de cupo"/>
    <s v="Pequeña empresa"/>
    <n v="0"/>
    <n v="0"/>
    <s v="Bucaramanga"/>
    <s v="NO"/>
  </r>
  <r>
    <s v="CLI_0133"/>
    <x v="1"/>
    <s v="Antioquia"/>
    <n v="6297223"/>
    <n v="-75578304"/>
    <d v="2024-06-17T00:00:00"/>
    <x v="0"/>
    <n v="1200000"/>
    <n v="287950"/>
    <n v="0"/>
    <x v="4"/>
    <n v="3500000"/>
    <s v="Feria empresarial"/>
    <x v="2"/>
    <s v="Femenino"/>
    <n v="64"/>
    <s v="Ampliación de cupo"/>
    <s v="Mediana empresa"/>
    <n v="0"/>
    <n v="0"/>
    <s v="Rionegro"/>
    <s v="NO"/>
  </r>
  <r>
    <s v="CLI_0134"/>
    <x v="4"/>
    <s v="Santander"/>
    <n v="7083212"/>
    <n v="-73102696"/>
    <d v="2024-03-22T00:00:00"/>
    <x v="0"/>
    <n v="2500000"/>
    <n v="1383641"/>
    <n v="0"/>
    <x v="0"/>
    <n v="1300000"/>
    <s v="Referido"/>
    <x v="8"/>
    <s v="Masculino"/>
    <n v="64"/>
    <s v="Educación financiera + seguro"/>
    <s v="Microempresa"/>
    <n v="0"/>
    <n v="0"/>
    <s v="Medellín"/>
    <s v="NO"/>
  </r>
  <r>
    <s v="CLI_0135"/>
    <x v="5"/>
    <s v="Antioquia"/>
    <n v="6264574"/>
    <n v="-75535367"/>
    <d v="2026-10-21T00:00:00"/>
    <x v="2"/>
    <n v="2500000"/>
    <n v="812394"/>
    <n v="0"/>
    <x v="3"/>
    <n v="2800000"/>
    <s v="Aliado comercial"/>
    <x v="9"/>
    <s v="Masculino"/>
    <n v="46"/>
    <s v="Ampliación de cupo"/>
    <s v="Pequeña empresa"/>
    <n v="0"/>
    <n v="0"/>
    <s v="Bogotá"/>
    <s v="NO"/>
  </r>
  <r>
    <s v="CLI_0136"/>
    <x v="7"/>
    <s v="Cundinamarca"/>
    <n v="4708271"/>
    <n v="-7402335"/>
    <d v="2023-03-15T00:00:00"/>
    <x v="1"/>
    <n v="4000000"/>
    <n v="1780715"/>
    <n v="0"/>
    <x v="3"/>
    <n v="3500000"/>
    <s v="Digital"/>
    <x v="2"/>
    <s v="Femenino"/>
    <n v="29"/>
    <s v="Ampliación de cupo"/>
    <s v="Mediana empresa"/>
    <n v="0"/>
    <n v="0"/>
    <s v="Rionegro"/>
    <s v="NO"/>
  </r>
  <r>
    <s v="CLI_0137"/>
    <x v="0"/>
    <s v="Cundinamarca"/>
    <n v="4596366"/>
    <n v="-74246587"/>
    <d v="2026-03-25T00:00:00"/>
    <x v="0"/>
    <n v="4000000"/>
    <n v="1485676"/>
    <n v="120"/>
    <x v="0"/>
    <n v="1600000"/>
    <s v="Aliado comercial"/>
    <x v="0"/>
    <s v="Masculino"/>
    <n v="54"/>
    <s v="Reestructuración de deuda"/>
    <s v="Pequeña empresa"/>
    <n v="1485676"/>
    <n v="1"/>
    <s v="Bello"/>
    <s v="NO"/>
  </r>
  <r>
    <s v="CLI_0138"/>
    <x v="0"/>
    <s v="Cundinamarca"/>
    <n v="4537978"/>
    <n v="-74276996"/>
    <d v="2026-10-14T00:00:00"/>
    <x v="3"/>
    <n v="1800000"/>
    <n v="559316"/>
    <n v="0"/>
    <x v="1"/>
    <n v="1600000"/>
    <s v="Feria empresarial"/>
    <x v="7"/>
    <s v="Masculino"/>
    <n v="23"/>
    <s v="Ampliación de cupo"/>
    <s v="Pequeña empresa"/>
    <n v="0"/>
    <n v="0"/>
    <s v="Pereira"/>
    <s v="NO"/>
  </r>
  <r>
    <s v="CLI_0139"/>
    <x v="0"/>
    <s v="Cundinamarca"/>
    <n v="4529673"/>
    <n v="-74271105"/>
    <d v="2023-02-13T00:00:00"/>
    <x v="1"/>
    <n v="2500000"/>
    <n v="1241982"/>
    <n v="45"/>
    <x v="1"/>
    <n v="2000000"/>
    <s v="Visita en zona"/>
    <x v="7"/>
    <s v="Femenino"/>
    <n v="33"/>
    <s v="Reestructuración de deuda"/>
    <s v="Pequeña empresa"/>
    <n v="1241982"/>
    <n v="1"/>
    <s v="Pereira"/>
    <s v="NO"/>
  </r>
  <r>
    <s v="CLI_0140"/>
    <x v="0"/>
    <s v="Cundinamarca"/>
    <n v="4507085"/>
    <n v="-74251583"/>
    <d v="2025-09-01T00:00:00"/>
    <x v="2"/>
    <n v="2500000"/>
    <n v="2124971"/>
    <n v="5"/>
    <x v="3"/>
    <n v="2000000"/>
    <s v="Visita en zona"/>
    <x v="9"/>
    <s v="Femenino"/>
    <n v="55"/>
    <s v="Plan de alivio de pagos"/>
    <s v="Pequeña empresa"/>
    <n v="0"/>
    <n v="0"/>
    <s v="Bogotá"/>
    <s v="NO"/>
  </r>
  <r>
    <s v="CLI_0141"/>
    <x v="0"/>
    <s v="Cundinamarca"/>
    <n v="4621517"/>
    <n v="-7423805"/>
    <d v="2025-02-13T00:00:00"/>
    <x v="1"/>
    <n v="1800000"/>
    <n v="258271"/>
    <n v="0"/>
    <x v="0"/>
    <n v="1600000"/>
    <s v="Feria empresarial"/>
    <x v="7"/>
    <s v="Masculino"/>
    <n v="32"/>
    <s v="Ampliación de cupo"/>
    <s v="Pequeña empresa"/>
    <n v="0"/>
    <n v="0"/>
    <s v="Pereira"/>
    <s v="NO"/>
  </r>
  <r>
    <s v="CLI_0142"/>
    <x v="9"/>
    <s v="Risaralda"/>
    <n v="475331"/>
    <n v="-75618587"/>
    <d v="2025-03-07T00:00:00"/>
    <x v="1"/>
    <n v="1800000"/>
    <n v="750993"/>
    <n v="120"/>
    <x v="0"/>
    <n v="2800000"/>
    <s v="Referido"/>
    <x v="8"/>
    <s v="Masculino"/>
    <n v="25"/>
    <s v="Reestructuración de deuda"/>
    <s v="Pequeña empresa"/>
    <n v="750993"/>
    <n v="1"/>
    <s v="Medellín"/>
    <s v="NO"/>
  </r>
  <r>
    <s v="CLI_0143"/>
    <x v="1"/>
    <s v="Antioquia"/>
    <n v="6186126"/>
    <n v="-75607913"/>
    <d v="2024-06-20T00:00:00"/>
    <x v="0"/>
    <n v="1800000"/>
    <n v="974579"/>
    <n v="0"/>
    <x v="1"/>
    <n v="2800000"/>
    <s v="Digital"/>
    <x v="7"/>
    <s v="Masculino"/>
    <n v="54"/>
    <s v="Educación financiera + seguro"/>
    <s v="Pequeña empresa"/>
    <n v="0"/>
    <n v="0"/>
    <s v="Pereira"/>
    <s v="NO"/>
  </r>
  <r>
    <s v="CLI_0144"/>
    <x v="7"/>
    <s v="Cundinamarca"/>
    <n v="4725996"/>
    <n v="-7407093"/>
    <d v="2026-01-12T00:00:00"/>
    <x v="0"/>
    <n v="2500000"/>
    <n v="1381222"/>
    <n v="15"/>
    <x v="4"/>
    <n v="1600000"/>
    <s v="Digital"/>
    <x v="7"/>
    <s v="Femenino"/>
    <n v="38"/>
    <s v="Plan de alivio de pagos"/>
    <s v="Pequeña empresa"/>
    <n v="0"/>
    <n v="0"/>
    <s v="Pereira"/>
    <s v="NO"/>
  </r>
  <r>
    <s v="CLI_0145"/>
    <x v="7"/>
    <s v="Cundinamarca"/>
    <n v="4758481"/>
    <n v="-74036048"/>
    <d v="2024-12-02T00:00:00"/>
    <x v="1"/>
    <n v="4000000"/>
    <n v="2539486"/>
    <n v="0"/>
    <x v="1"/>
    <n v="1600000"/>
    <s v="Aliado comercial"/>
    <x v="7"/>
    <s v="Masculino"/>
    <n v="38"/>
    <s v="Educación financiera + seguro"/>
    <s v="Pequeña empresa"/>
    <n v="0"/>
    <n v="0"/>
    <s v="Pereira"/>
    <s v="NO"/>
  </r>
  <r>
    <s v="CLI_0146"/>
    <x v="8"/>
    <s v="Valle del Cauca"/>
    <n v="3395244"/>
    <n v="-76503084"/>
    <d v="2023-08-11T00:00:00"/>
    <x v="1"/>
    <n v="500000"/>
    <n v="293342"/>
    <n v="15"/>
    <x v="1"/>
    <n v="1300000"/>
    <s v="Digital"/>
    <x v="2"/>
    <s v="Masculino"/>
    <n v="48"/>
    <s v="Plan de alivio de pagos"/>
    <s v="Microempresa"/>
    <n v="0"/>
    <n v="0"/>
    <s v="Rionegro"/>
    <s v="NO"/>
  </r>
  <r>
    <s v="CLI_0147"/>
    <x v="8"/>
    <s v="Valle del Cauca"/>
    <n v="3451891"/>
    <n v="-76514164"/>
    <d v="2024-09-07T00:00:00"/>
    <x v="0"/>
    <n v="1800000"/>
    <n v="1515411"/>
    <n v="15"/>
    <x v="3"/>
    <n v="900000"/>
    <s v="Aliado comercial"/>
    <x v="3"/>
    <s v="Masculino"/>
    <n v="35"/>
    <s v="Plan de alivio de pagos"/>
    <s v="Microempresa"/>
    <n v="0"/>
    <n v="0"/>
    <s v="Cali"/>
    <s v="SI"/>
  </r>
  <r>
    <s v="CLI_0148"/>
    <x v="0"/>
    <s v="Cundinamarca"/>
    <n v="465237"/>
    <n v="-74223054"/>
    <d v="2025-10-16T00:00:00"/>
    <x v="3"/>
    <n v="2500000"/>
    <n v="977445"/>
    <n v="0"/>
    <x v="1"/>
    <n v="3500000"/>
    <s v="Feria empresarial"/>
    <x v="4"/>
    <s v="Masculino"/>
    <n v="54"/>
    <s v="Ampliación de cupo"/>
    <s v="Mediana empresa"/>
    <n v="0"/>
    <n v="0"/>
    <s v="Bucaramanga"/>
    <s v="NO"/>
  </r>
  <r>
    <s v="CLI_0149"/>
    <x v="7"/>
    <s v="Cundinamarca"/>
    <n v="4666979"/>
    <n v="-73996434"/>
    <d v="2026-06-16T00:00:00"/>
    <x v="0"/>
    <n v="1200000"/>
    <n v="906598"/>
    <n v="15"/>
    <x v="0"/>
    <n v="3500000"/>
    <s v="Feria empresarial"/>
    <x v="9"/>
    <s v="Femenino"/>
    <n v="42"/>
    <s v="Plan de alivio de pagos"/>
    <s v="Mediana empresa"/>
    <n v="0"/>
    <n v="0"/>
    <s v="Bogotá"/>
    <s v="SI"/>
  </r>
  <r>
    <s v="CLI_0150"/>
    <x v="5"/>
    <s v="Antioquia"/>
    <n v="6349056"/>
    <n v="-75551089"/>
    <d v="2025-01-10T00:00:00"/>
    <x v="2"/>
    <n v="1800000"/>
    <n v="1432118"/>
    <n v="90"/>
    <x v="2"/>
    <n v="1300000"/>
    <s v="Digital"/>
    <x v="9"/>
    <s v="Masculino"/>
    <n v="46"/>
    <s v="Reestructuración de deuda"/>
    <s v="Microempresa"/>
    <n v="1432118"/>
    <n v="1"/>
    <s v="Bogotá"/>
    <s v="NO"/>
  </r>
  <r>
    <s v="CLI_0151"/>
    <x v="3"/>
    <s v="Atlántico"/>
    <n v="10918138"/>
    <n v="-74743928"/>
    <d v="2023-10-24T00:00:00"/>
    <x v="3"/>
    <n v="1200000"/>
    <n v="1071684"/>
    <n v="5"/>
    <x v="1"/>
    <n v="1300000"/>
    <s v="Referido"/>
    <x v="4"/>
    <s v="Femenino"/>
    <n v="50"/>
    <s v="Plan de alivio de pagos"/>
    <s v="Microempresa"/>
    <n v="0"/>
    <n v="0"/>
    <s v="Bucaramanga"/>
    <s v="NO"/>
  </r>
  <r>
    <s v="CLI_0152"/>
    <x v="2"/>
    <s v="Antioquia"/>
    <n v="6176871"/>
    <n v="-75446201"/>
    <d v="2024-01-18T00:00:00"/>
    <x v="3"/>
    <n v="1800000"/>
    <n v="685349"/>
    <n v="0"/>
    <x v="3"/>
    <n v="3500000"/>
    <s v="Digital"/>
    <x v="5"/>
    <s v="Femenino"/>
    <n v="21"/>
    <s v="Ampliación de cupo"/>
    <s v="Mediana empresa"/>
    <n v="0"/>
    <n v="0"/>
    <s v="Barranquilla"/>
    <s v="NO"/>
  </r>
  <r>
    <s v="CLI_0153"/>
    <x v="2"/>
    <s v="Antioquia"/>
    <n v="6195746"/>
    <n v="-75408641"/>
    <d v="2024-09-24T00:00:00"/>
    <x v="2"/>
    <n v="1200000"/>
    <n v="778816"/>
    <n v="45"/>
    <x v="1"/>
    <n v="900000"/>
    <s v="Digital"/>
    <x v="6"/>
    <s v="Masculino"/>
    <n v="54"/>
    <s v="Reestructuración de deuda"/>
    <s v="Microempresa"/>
    <n v="778816"/>
    <n v="1"/>
    <s v="Itagüí"/>
    <s v="NO"/>
  </r>
  <r>
    <s v="CLI_0154"/>
    <x v="1"/>
    <s v="Antioquia"/>
    <n v="6323747"/>
    <n v="-75597681"/>
    <d v="2023-01-10T00:00:00"/>
    <x v="2"/>
    <n v="1800000"/>
    <n v="465057"/>
    <n v="15"/>
    <x v="2"/>
    <n v="1600000"/>
    <s v="Feria empresarial"/>
    <x v="5"/>
    <s v="Masculino"/>
    <n v="39"/>
    <s v="Plan de alivio de pagos"/>
    <s v="Pequeña empresa"/>
    <n v="0"/>
    <n v="0"/>
    <s v="Barranquilla"/>
    <s v="NO"/>
  </r>
  <r>
    <s v="CLI_0155"/>
    <x v="4"/>
    <s v="Santander"/>
    <n v="7123191"/>
    <n v="-73060418"/>
    <d v="2023-06-06T00:00:00"/>
    <x v="1"/>
    <n v="800000"/>
    <n v="658721"/>
    <n v="0"/>
    <x v="2"/>
    <n v="1300000"/>
    <s v="Visita en zona"/>
    <x v="8"/>
    <s v="Masculino"/>
    <n v="62"/>
    <s v="Educación financiera + seguro"/>
    <s v="Microempresa"/>
    <n v="0"/>
    <n v="0"/>
    <s v="Medellín"/>
    <s v="NO"/>
  </r>
  <r>
    <s v="CLI_0156"/>
    <x v="0"/>
    <s v="Cundinamarca"/>
    <n v="4625823"/>
    <n v="-74205755"/>
    <d v="2026-07-17T00:00:00"/>
    <x v="0"/>
    <n v="6000000"/>
    <n v="1585123"/>
    <n v="5"/>
    <x v="4"/>
    <n v="3500000"/>
    <s v="Digital"/>
    <x v="0"/>
    <s v="Masculino"/>
    <n v="51"/>
    <s v="Plan de alivio de pagos"/>
    <s v="Mediana empresa"/>
    <n v="0"/>
    <n v="0"/>
    <s v="Bello"/>
    <s v="NO"/>
  </r>
  <r>
    <s v="CLI_0157"/>
    <x v="6"/>
    <s v="Antioquia"/>
    <n v="624897"/>
    <n v="-75615807"/>
    <d v="2025-06-10T00:00:00"/>
    <x v="2"/>
    <n v="800000"/>
    <n v="84644"/>
    <n v="0"/>
    <x v="2"/>
    <n v="2000000"/>
    <s v="Feria empresarial"/>
    <x v="2"/>
    <s v="Masculino"/>
    <n v="40"/>
    <s v="Ampliación de cupo"/>
    <s v="Pequeña empresa"/>
    <n v="0"/>
    <n v="0"/>
    <s v="Rionegro"/>
    <s v="NO"/>
  </r>
  <r>
    <s v="CLI_0158"/>
    <x v="1"/>
    <s v="Antioquia"/>
    <n v="6271046"/>
    <n v="-75586737"/>
    <d v="2025-12-04T00:00:00"/>
    <x v="0"/>
    <n v="800000"/>
    <n v="355683"/>
    <n v="0"/>
    <x v="2"/>
    <n v="3500000"/>
    <s v="Aliado comercial"/>
    <x v="2"/>
    <s v="Femenino"/>
    <n v="42"/>
    <s v="Ampliación de cupo"/>
    <s v="Mediana empresa"/>
    <n v="0"/>
    <n v="0"/>
    <s v="Rionegro"/>
    <s v="NO"/>
  </r>
  <r>
    <s v="CLI_0159"/>
    <x v="2"/>
    <s v="Antioquia"/>
    <n v="6227978"/>
    <n v="-75378091"/>
    <d v="2026-09-26T00:00:00"/>
    <x v="3"/>
    <n v="1800000"/>
    <n v="1324034"/>
    <n v="5"/>
    <x v="1"/>
    <n v="2000000"/>
    <s v="Aliado comercial"/>
    <x v="0"/>
    <s v="Femenino"/>
    <n v="58"/>
    <s v="Plan de alivio de pagos"/>
    <s v="Pequeña empresa"/>
    <n v="0"/>
    <n v="0"/>
    <s v="Bello"/>
    <s v="NO"/>
  </r>
  <r>
    <s v="CLI_0160"/>
    <x v="4"/>
    <s v="Santander"/>
    <n v="711078"/>
    <n v="-73090097"/>
    <d v="2024-10-18T00:00:00"/>
    <x v="3"/>
    <n v="500000"/>
    <n v="439829"/>
    <n v="0"/>
    <x v="1"/>
    <n v="2800000"/>
    <s v="Feria empresarial"/>
    <x v="4"/>
    <s v="Masculino"/>
    <n v="61"/>
    <s v="Educación financiera + seguro"/>
    <s v="Pequeña empresa"/>
    <n v="0"/>
    <n v="0"/>
    <s v="Bucaramanga"/>
    <s v="SI"/>
  </r>
  <r>
    <s v="CLI_0161"/>
    <x v="3"/>
    <s v="Atlántico"/>
    <n v="10902498"/>
    <n v="-74843536"/>
    <d v="2023-08-05T00:00:00"/>
    <x v="1"/>
    <n v="2500000"/>
    <n v="1288759"/>
    <n v="45"/>
    <x v="3"/>
    <n v="2000000"/>
    <s v="Aliado comercial"/>
    <x v="8"/>
    <s v="Masculino"/>
    <n v="54"/>
    <s v="Reestructuración de deuda"/>
    <s v="Pequeña empresa"/>
    <n v="1288759"/>
    <n v="1"/>
    <s v="Medellín"/>
    <s v="NO"/>
  </r>
  <r>
    <s v="CLI_0162"/>
    <x v="4"/>
    <s v="Santander"/>
    <n v="7113281"/>
    <n v="-73073594"/>
    <d v="2024-10-03T00:00:00"/>
    <x v="2"/>
    <n v="4000000"/>
    <n v="474020"/>
    <n v="0"/>
    <x v="3"/>
    <n v="900000"/>
    <s v="Feria empresarial"/>
    <x v="0"/>
    <s v="Femenino"/>
    <n v="51"/>
    <s v="Ampliación de cupo"/>
    <s v="Microempresa"/>
    <n v="0"/>
    <n v="0"/>
    <s v="Bello"/>
    <s v="NO"/>
  </r>
  <r>
    <s v="CLI_0163"/>
    <x v="4"/>
    <s v="Santander"/>
    <n v="719836"/>
    <n v="-73053167"/>
    <d v="2026-03-25T00:00:00"/>
    <x v="3"/>
    <n v="500000"/>
    <n v="469108"/>
    <n v="0"/>
    <x v="3"/>
    <n v="1600000"/>
    <s v="Feria empresarial"/>
    <x v="3"/>
    <s v="Femenino"/>
    <n v="32"/>
    <s v="Educación financiera + seguro"/>
    <s v="Pequeña empresa"/>
    <n v="0"/>
    <n v="0"/>
    <s v="Cali"/>
    <s v="NO"/>
  </r>
  <r>
    <s v="CLI_0164"/>
    <x v="3"/>
    <s v="Atlántico"/>
    <n v="11023039"/>
    <n v="-74731317"/>
    <d v="2024-11-28T00:00:00"/>
    <x v="0"/>
    <n v="1800000"/>
    <n v="302782"/>
    <n v="90"/>
    <x v="4"/>
    <n v="2800000"/>
    <s v="Visita en zona"/>
    <x v="4"/>
    <s v="Femenino"/>
    <n v="27"/>
    <s v="Reestructuración de deuda"/>
    <s v="Pequeña empresa"/>
    <n v="302782"/>
    <n v="1"/>
    <s v="Bucaramanga"/>
    <s v="NO"/>
  </r>
  <r>
    <s v="CLI_0165"/>
    <x v="8"/>
    <s v="Valle del Cauca"/>
    <n v="3456215"/>
    <n v="-76495543"/>
    <d v="2026-11-24T00:00:00"/>
    <x v="1"/>
    <n v="800000"/>
    <n v="647679"/>
    <n v="15"/>
    <x v="0"/>
    <n v="1600000"/>
    <s v="Digital"/>
    <x v="2"/>
    <s v="Femenino"/>
    <n v="49"/>
    <s v="Plan de alivio de pagos"/>
    <s v="Pequeña empresa"/>
    <n v="0"/>
    <n v="0"/>
    <s v="Rionegro"/>
    <s v="NO"/>
  </r>
  <r>
    <s v="CLI_0166"/>
    <x v="2"/>
    <s v="Antioquia"/>
    <n v="61485"/>
    <n v="-75429781"/>
    <d v="2023-11-14T00:00:00"/>
    <x v="2"/>
    <n v="800000"/>
    <n v="717439"/>
    <n v="15"/>
    <x v="1"/>
    <n v="900000"/>
    <s v="Visita en zona"/>
    <x v="0"/>
    <s v="Masculino"/>
    <n v="33"/>
    <s v="Plan de alivio de pagos"/>
    <s v="Microempresa"/>
    <n v="0"/>
    <n v="0"/>
    <s v="Bello"/>
    <s v="NO"/>
  </r>
  <r>
    <s v="CLI_0167"/>
    <x v="5"/>
    <s v="Antioquia"/>
    <n v="6352331"/>
    <n v="-75566569"/>
    <d v="2023-07-15T00:00:00"/>
    <x v="3"/>
    <n v="4000000"/>
    <n v="2791173"/>
    <n v="0"/>
    <x v="0"/>
    <n v="3500000"/>
    <s v="Visita en zona"/>
    <x v="8"/>
    <s v="Masculino"/>
    <n v="45"/>
    <s v="Educación financiera + seguro"/>
    <s v="Mediana empresa"/>
    <n v="0"/>
    <n v="0"/>
    <s v="Medellín"/>
    <s v="NO"/>
  </r>
  <r>
    <s v="CLI_0168"/>
    <x v="6"/>
    <s v="Antioquia"/>
    <n v="6172523"/>
    <n v="-75645918"/>
    <d v="2025-04-10T00:00:00"/>
    <x v="3"/>
    <n v="6000000"/>
    <n v="5273625"/>
    <n v="0"/>
    <x v="0"/>
    <n v="2800000"/>
    <s v="Visita en zona"/>
    <x v="3"/>
    <s v="Femenino"/>
    <n v="57"/>
    <s v="Educación financiera + seguro"/>
    <s v="Pequeña empresa"/>
    <n v="0"/>
    <n v="0"/>
    <s v="Cali"/>
    <s v="NO"/>
  </r>
  <r>
    <s v="CLI_0169"/>
    <x v="7"/>
    <s v="Cundinamarca"/>
    <n v="4675025"/>
    <n v="-74063025"/>
    <d v="2026-09-16T00:00:00"/>
    <x v="2"/>
    <n v="2500000"/>
    <n v="2119392"/>
    <n v="60"/>
    <x v="2"/>
    <n v="3500000"/>
    <s v="Digital"/>
    <x v="4"/>
    <s v="Masculino"/>
    <n v="46"/>
    <s v="Reestructuración de deuda"/>
    <s v="Mediana empresa"/>
    <n v="2119392"/>
    <n v="1"/>
    <s v="Bucaramanga"/>
    <s v="NO"/>
  </r>
  <r>
    <s v="CLI_0170"/>
    <x v="0"/>
    <s v="Cundinamarca"/>
    <n v="4610709"/>
    <n v="-74231279"/>
    <d v="2024-04-10T00:00:00"/>
    <x v="3"/>
    <n v="1200000"/>
    <n v="503989"/>
    <n v="15"/>
    <x v="3"/>
    <n v="2000000"/>
    <s v="Referido"/>
    <x v="4"/>
    <s v="Femenino"/>
    <n v="26"/>
    <s v="Plan de alivio de pagos"/>
    <s v="Pequeña empresa"/>
    <n v="0"/>
    <n v="0"/>
    <s v="Bucaramanga"/>
    <s v="NO"/>
  </r>
  <r>
    <s v="CLI_0171"/>
    <x v="8"/>
    <s v="Valle del Cauca"/>
    <n v="3526446"/>
    <n v="-76522834"/>
    <d v="2023-08-28T00:00:00"/>
    <x v="0"/>
    <n v="800000"/>
    <n v="344125"/>
    <n v="0"/>
    <x v="4"/>
    <n v="1600000"/>
    <s v="Aliado comercial"/>
    <x v="2"/>
    <s v="Masculino"/>
    <n v="31"/>
    <s v="Ampliación de cupo"/>
    <s v="Pequeña empresa"/>
    <n v="0"/>
    <n v="0"/>
    <s v="Rionegro"/>
    <s v="NO"/>
  </r>
  <r>
    <s v="CLI_0172"/>
    <x v="1"/>
    <s v="Antioquia"/>
    <n v="6207154"/>
    <n v="-75553412"/>
    <d v="2024-08-07T00:00:00"/>
    <x v="0"/>
    <n v="2500000"/>
    <n v="334039"/>
    <n v="0"/>
    <x v="2"/>
    <n v="2800000"/>
    <s v="Referido"/>
    <x v="2"/>
    <s v="Masculino"/>
    <n v="62"/>
    <s v="Ampliación de cupo"/>
    <s v="Pequeña empresa"/>
    <n v="0"/>
    <n v="0"/>
    <s v="Rionegro"/>
    <s v="NO"/>
  </r>
  <r>
    <s v="CLI_0173"/>
    <x v="2"/>
    <s v="Antioquia"/>
    <n v="6228732"/>
    <n v="-75435829"/>
    <d v="2024-07-08T00:00:00"/>
    <x v="0"/>
    <n v="6000000"/>
    <n v="3042496"/>
    <n v="0"/>
    <x v="2"/>
    <n v="2800000"/>
    <s v="Digital"/>
    <x v="5"/>
    <s v="Masculino"/>
    <n v="25"/>
    <s v="Educación financiera + seguro"/>
    <s v="Pequeña empresa"/>
    <n v="0"/>
    <n v="0"/>
    <s v="Barranquilla"/>
    <s v="NO"/>
  </r>
  <r>
    <s v="CLI_0174"/>
    <x v="4"/>
    <s v="Santander"/>
    <n v="7143095"/>
    <n v="-73153352"/>
    <d v="2026-06-07T00:00:00"/>
    <x v="0"/>
    <n v="1200000"/>
    <n v="643073"/>
    <n v="0"/>
    <x v="2"/>
    <n v="900000"/>
    <s v="Digital"/>
    <x v="8"/>
    <s v="Femenino"/>
    <n v="41"/>
    <s v="Educación financiera + seguro"/>
    <s v="Microempresa"/>
    <n v="0"/>
    <n v="0"/>
    <s v="Medellín"/>
    <s v="NO"/>
  </r>
  <r>
    <s v="CLI_0175"/>
    <x v="9"/>
    <s v="Risaralda"/>
    <n v="4872554"/>
    <n v="-75656"/>
    <d v="2026-05-05T00:00:00"/>
    <x v="3"/>
    <n v="500000"/>
    <n v="160829"/>
    <n v="60"/>
    <x v="2"/>
    <n v="2800000"/>
    <s v="Visita en zona"/>
    <x v="3"/>
    <s v="Masculino"/>
    <n v="60"/>
    <s v="Reestructuración de deuda"/>
    <s v="Pequeña empresa"/>
    <n v="160829"/>
    <n v="1"/>
    <s v="Cali"/>
    <s v="NO"/>
  </r>
  <r>
    <s v="CLI_0176"/>
    <x v="9"/>
    <s v="Risaralda"/>
    <n v="4867638"/>
    <n v="-75694712"/>
    <d v="2026-08-06T00:00:00"/>
    <x v="0"/>
    <n v="4000000"/>
    <n v="3607779"/>
    <n v="0"/>
    <x v="1"/>
    <n v="2000000"/>
    <s v="Visita en zona"/>
    <x v="4"/>
    <s v="Femenino"/>
    <n v="55"/>
    <s v="Educación financiera + seguro"/>
    <s v="Pequeña empresa"/>
    <n v="0"/>
    <n v="0"/>
    <s v="Bucaramanga"/>
    <s v="NO"/>
  </r>
  <r>
    <s v="CLI_0177"/>
    <x v="3"/>
    <s v="Atlántico"/>
    <n v="10913348"/>
    <n v="-74734102"/>
    <d v="2023-01-14T00:00:00"/>
    <x v="3"/>
    <n v="4000000"/>
    <n v="3654605"/>
    <n v="0"/>
    <x v="1"/>
    <n v="900000"/>
    <s v="Referido"/>
    <x v="6"/>
    <s v="Femenino"/>
    <n v="36"/>
    <s v="Educación financiera + seguro"/>
    <s v="Microempresa"/>
    <n v="0"/>
    <n v="0"/>
    <s v="Itagüí"/>
    <s v="NO"/>
  </r>
  <r>
    <s v="CLI_0178"/>
    <x v="1"/>
    <s v="Antioquia"/>
    <n v="6199195"/>
    <n v="-75588238"/>
    <d v="2026-11-16T00:00:00"/>
    <x v="2"/>
    <n v="500000"/>
    <n v="312580"/>
    <n v="5"/>
    <x v="4"/>
    <n v="2800000"/>
    <s v="Aliado comercial"/>
    <x v="4"/>
    <s v="Masculino"/>
    <n v="37"/>
    <s v="Plan de alivio de pagos"/>
    <s v="Pequeña empresa"/>
    <n v="0"/>
    <n v="0"/>
    <s v="Bucaramanga"/>
    <s v="NO"/>
  </r>
  <r>
    <s v="CLI_0179"/>
    <x v="8"/>
    <s v="Valle del Cauca"/>
    <n v="3373496"/>
    <n v="-76527293"/>
    <d v="2026-03-04T00:00:00"/>
    <x v="2"/>
    <n v="1200000"/>
    <n v="666453"/>
    <n v="0"/>
    <x v="0"/>
    <n v="2800000"/>
    <s v="Visita en zona"/>
    <x v="2"/>
    <s v="Femenino"/>
    <n v="32"/>
    <s v="Educación financiera + seguro"/>
    <s v="Pequeña empresa"/>
    <n v="0"/>
    <n v="0"/>
    <s v="Rionegro"/>
    <s v="NO"/>
  </r>
  <r>
    <s v="CLI_0180"/>
    <x v="2"/>
    <s v="Antioquia"/>
    <n v="6173965"/>
    <n v="-75414213"/>
    <d v="2026-08-19T00:00:00"/>
    <x v="3"/>
    <n v="1200000"/>
    <n v="392671"/>
    <n v="0"/>
    <x v="1"/>
    <n v="1600000"/>
    <s v="Feria empresarial"/>
    <x v="0"/>
    <s v="Masculino"/>
    <n v="42"/>
    <s v="Ampliación de cupo"/>
    <s v="Pequeña empresa"/>
    <n v="0"/>
    <n v="0"/>
    <s v="Bello"/>
    <s v="NO"/>
  </r>
  <r>
    <s v="CLI_0181"/>
    <x v="1"/>
    <s v="Antioquia"/>
    <n v="617916"/>
    <n v="-75600518"/>
    <d v="2024-02-16T00:00:00"/>
    <x v="1"/>
    <n v="2500000"/>
    <n v="1261511"/>
    <n v="5"/>
    <x v="2"/>
    <n v="3500000"/>
    <s v="Aliado comercial"/>
    <x v="0"/>
    <s v="Femenino"/>
    <n v="64"/>
    <s v="Plan de alivio de pagos"/>
    <s v="Mediana empresa"/>
    <n v="0"/>
    <n v="0"/>
    <s v="Bello"/>
    <s v="NO"/>
  </r>
  <r>
    <s v="CLI_0182"/>
    <x v="4"/>
    <s v="Santander"/>
    <n v="7186364"/>
    <n v="-73165937"/>
    <d v="2023-02-22T00:00:00"/>
    <x v="0"/>
    <n v="6000000"/>
    <n v="4130667"/>
    <n v="0"/>
    <x v="0"/>
    <n v="1600000"/>
    <s v="Aliado comercial"/>
    <x v="8"/>
    <s v="Masculino"/>
    <n v="38"/>
    <s v="Educación financiera + seguro"/>
    <s v="Pequeña empresa"/>
    <n v="0"/>
    <n v="0"/>
    <s v="Medellín"/>
    <s v="NO"/>
  </r>
  <r>
    <s v="CLI_0183"/>
    <x v="6"/>
    <s v="Antioquia"/>
    <n v="6240503"/>
    <n v="-75641882"/>
    <d v="2026-02-10T00:00:00"/>
    <x v="3"/>
    <n v="800000"/>
    <n v="479185"/>
    <n v="15"/>
    <x v="0"/>
    <n v="3500000"/>
    <s v="Visita en zona"/>
    <x v="7"/>
    <s v="Masculino"/>
    <n v="30"/>
    <s v="Plan de alivio de pagos"/>
    <s v="Mediana empresa"/>
    <n v="0"/>
    <n v="0"/>
    <s v="Pereira"/>
    <s v="NO"/>
  </r>
  <r>
    <s v="CLI_0184"/>
    <x v="8"/>
    <s v="Valle del Cauca"/>
    <n v="3479926"/>
    <n v="-7652551"/>
    <d v="2023-09-24T00:00:00"/>
    <x v="0"/>
    <n v="1800000"/>
    <n v="1336082"/>
    <n v="0"/>
    <x v="4"/>
    <n v="3500000"/>
    <s v="Referido"/>
    <x v="3"/>
    <s v="Femenino"/>
    <n v="59"/>
    <s v="Educación financiera + seguro"/>
    <s v="Mediana empresa"/>
    <n v="0"/>
    <n v="0"/>
    <s v="Cali"/>
    <s v="SI"/>
  </r>
  <r>
    <s v="CLI_0185"/>
    <x v="2"/>
    <s v="Antioquia"/>
    <n v="6208988"/>
    <n v="-75400105"/>
    <d v="2023-11-09T00:00:00"/>
    <x v="1"/>
    <n v="6000000"/>
    <n v="3730713"/>
    <n v="0"/>
    <x v="3"/>
    <n v="1600000"/>
    <s v="Visita en zona"/>
    <x v="1"/>
    <s v="Femenino"/>
    <n v="26"/>
    <s v="Educación financiera + seguro"/>
    <s v="Pequeña empresa"/>
    <n v="0"/>
    <n v="0"/>
    <s v="Soacha"/>
    <s v="NO"/>
  </r>
  <r>
    <s v="CLI_0186"/>
    <x v="4"/>
    <s v="Santander"/>
    <n v="7189883"/>
    <n v="-73133604"/>
    <d v="2025-04-23T00:00:00"/>
    <x v="2"/>
    <n v="4000000"/>
    <n v="2391975"/>
    <n v="0"/>
    <x v="4"/>
    <n v="2800000"/>
    <s v="Feria empresarial"/>
    <x v="6"/>
    <s v="Masculino"/>
    <n v="44"/>
    <s v="Educación financiera + seguro"/>
    <s v="Pequeña empresa"/>
    <n v="0"/>
    <n v="0"/>
    <s v="Itagüí"/>
    <s v="NO"/>
  </r>
  <r>
    <s v="CLI_0187"/>
    <x v="8"/>
    <s v="Valle del Cauca"/>
    <n v="3485468"/>
    <n v="-76510576"/>
    <d v="2023-05-15T00:00:00"/>
    <x v="0"/>
    <n v="4000000"/>
    <n v="1724715"/>
    <n v="0"/>
    <x v="2"/>
    <n v="900000"/>
    <s v="Referido"/>
    <x v="6"/>
    <s v="Masculino"/>
    <n v="39"/>
    <s v="Ampliación de cupo"/>
    <s v="Microempresa"/>
    <n v="0"/>
    <n v="0"/>
    <s v="Itagüí"/>
    <s v="NO"/>
  </r>
  <r>
    <s v="CLI_0188"/>
    <x v="5"/>
    <s v="Antioquia"/>
    <n v="6287283"/>
    <n v="-75566185"/>
    <d v="2025-09-03T00:00:00"/>
    <x v="0"/>
    <n v="2500000"/>
    <n v="1338937"/>
    <n v="0"/>
    <x v="3"/>
    <n v="900000"/>
    <s v="Referido"/>
    <x v="9"/>
    <s v="Femenino"/>
    <n v="34"/>
    <s v="Educación financiera + seguro"/>
    <s v="Microempresa"/>
    <n v="0"/>
    <n v="0"/>
    <s v="Bogotá"/>
    <s v="NO"/>
  </r>
  <r>
    <s v="CLI_0189"/>
    <x v="8"/>
    <s v="Valle del Cauca"/>
    <n v="3433648"/>
    <n v="-76598448"/>
    <d v="2024-11-13T00:00:00"/>
    <x v="3"/>
    <n v="2500000"/>
    <n v="2173566"/>
    <n v="90"/>
    <x v="1"/>
    <n v="2800000"/>
    <s v="Feria empresarial"/>
    <x v="9"/>
    <s v="Femenino"/>
    <n v="35"/>
    <s v="Reestructuración de deuda"/>
    <s v="Pequeña empresa"/>
    <n v="2173566"/>
    <n v="1"/>
    <s v="Bogotá"/>
    <s v="NO"/>
  </r>
  <r>
    <s v="CLI_0190"/>
    <x v="7"/>
    <s v="Cundinamarca"/>
    <n v="47099"/>
    <n v="-74141977"/>
    <d v="2025-05-08T00:00:00"/>
    <x v="1"/>
    <n v="1800000"/>
    <n v="602222"/>
    <n v="0"/>
    <x v="0"/>
    <n v="900000"/>
    <s v="Aliado comercial"/>
    <x v="2"/>
    <s v="Masculino"/>
    <n v="34"/>
    <s v="Ampliación de cupo"/>
    <s v="Microempresa"/>
    <n v="0"/>
    <n v="0"/>
    <s v="Rionegro"/>
    <s v="NO"/>
  </r>
  <r>
    <s v="CLI_0191"/>
    <x v="3"/>
    <s v="Atlántico"/>
    <n v="10901016"/>
    <n v="-74827655"/>
    <d v="2026-06-14T00:00:00"/>
    <x v="3"/>
    <n v="1800000"/>
    <n v="688292"/>
    <n v="5"/>
    <x v="2"/>
    <n v="1600000"/>
    <s v="Feria empresarial"/>
    <x v="7"/>
    <s v="Femenino"/>
    <n v="44"/>
    <s v="Plan de alivio de pagos"/>
    <s v="Pequeña empresa"/>
    <n v="0"/>
    <n v="0"/>
    <s v="Pereira"/>
    <s v="NO"/>
  </r>
  <r>
    <s v="CLI_0192"/>
    <x v="2"/>
    <s v="Antioquia"/>
    <n v="6151442"/>
    <n v="-75426178"/>
    <d v="2026-10-26T00:00:00"/>
    <x v="3"/>
    <n v="1800000"/>
    <n v="1662150"/>
    <n v="0"/>
    <x v="2"/>
    <n v="3500000"/>
    <s v="Digital"/>
    <x v="9"/>
    <s v="Masculino"/>
    <n v="44"/>
    <s v="Educación financiera + seguro"/>
    <s v="Mediana empresa"/>
    <n v="0"/>
    <n v="0"/>
    <s v="Bogotá"/>
    <s v="NO"/>
  </r>
  <r>
    <s v="CLI_0193"/>
    <x v="8"/>
    <s v="Valle del Cauca"/>
    <n v="3430002"/>
    <n v="-76462869"/>
    <d v="2023-12-15T00:00:00"/>
    <x v="3"/>
    <n v="800000"/>
    <n v="482714"/>
    <n v="0"/>
    <x v="3"/>
    <n v="3500000"/>
    <s v="Feria empresarial"/>
    <x v="0"/>
    <s v="Femenino"/>
    <n v="35"/>
    <s v="Educación financiera + seguro"/>
    <s v="Mediana empresa"/>
    <n v="0"/>
    <n v="0"/>
    <s v="Bello"/>
    <s v="NO"/>
  </r>
  <r>
    <s v="CLI_0194"/>
    <x v="8"/>
    <s v="Valle del Cauca"/>
    <n v="3479276"/>
    <n v="-76589731"/>
    <d v="2026-07-03T00:00:00"/>
    <x v="1"/>
    <n v="1200000"/>
    <n v="366862"/>
    <n v="5"/>
    <x v="0"/>
    <n v="3500000"/>
    <s v="Digital"/>
    <x v="7"/>
    <s v="Masculino"/>
    <n v="35"/>
    <s v="Plan de alivio de pagos"/>
    <s v="Mediana empresa"/>
    <n v="0"/>
    <n v="0"/>
    <s v="Pereira"/>
    <s v="NO"/>
  </r>
  <r>
    <s v="CLI_0195"/>
    <x v="8"/>
    <s v="Valle del Cauca"/>
    <n v="3457099"/>
    <n v="-76464241"/>
    <d v="2023-02-25T00:00:00"/>
    <x v="3"/>
    <n v="6000000"/>
    <n v="4127715"/>
    <n v="0"/>
    <x v="2"/>
    <n v="1600000"/>
    <s v="Visita en zona"/>
    <x v="7"/>
    <s v="Masculino"/>
    <n v="57"/>
    <s v="Educación financiera + seguro"/>
    <s v="Pequeña empresa"/>
    <n v="0"/>
    <n v="0"/>
    <s v="Pereira"/>
    <s v="NO"/>
  </r>
  <r>
    <s v="CLI_0196"/>
    <x v="1"/>
    <s v="Antioquia"/>
    <n v="6254315"/>
    <n v="-75557995"/>
    <d v="2023-01-04T00:00:00"/>
    <x v="0"/>
    <n v="4000000"/>
    <n v="1758700"/>
    <n v="15"/>
    <x v="1"/>
    <n v="2000000"/>
    <s v="Aliado comercial"/>
    <x v="4"/>
    <s v="Femenino"/>
    <n v="54"/>
    <s v="Plan de alivio de pagos"/>
    <s v="Pequeña empresa"/>
    <n v="0"/>
    <n v="0"/>
    <s v="Bucaramanga"/>
    <s v="NO"/>
  </r>
  <r>
    <s v="CLI_0197"/>
    <x v="4"/>
    <s v="Santander"/>
    <n v="7132183"/>
    <n v="-73110662"/>
    <d v="2024-06-01T00:00:00"/>
    <x v="1"/>
    <n v="1800000"/>
    <n v="752403"/>
    <n v="0"/>
    <x v="4"/>
    <n v="3500000"/>
    <s v="Feria empresarial"/>
    <x v="3"/>
    <s v="Masculino"/>
    <n v="64"/>
    <s v="Ampliación de cupo"/>
    <s v="Mediana empresa"/>
    <n v="0"/>
    <n v="0"/>
    <s v="Cali"/>
    <s v="NO"/>
  </r>
  <r>
    <s v="CLI_0198"/>
    <x v="5"/>
    <s v="Antioquia"/>
    <n v="6275871"/>
    <n v="-75487492"/>
    <d v="2026-06-16T00:00:00"/>
    <x v="2"/>
    <n v="800000"/>
    <n v="316863"/>
    <n v="0"/>
    <x v="3"/>
    <n v="1300000"/>
    <s v="Digital"/>
    <x v="1"/>
    <s v="Femenino"/>
    <n v="45"/>
    <s v="Ampliación de cupo"/>
    <s v="Microempresa"/>
    <n v="0"/>
    <n v="0"/>
    <s v="Soacha"/>
    <s v="NO"/>
  </r>
  <r>
    <s v="CLI_0199"/>
    <x v="5"/>
    <s v="Antioquia"/>
    <n v="6305342"/>
    <n v="-7550837"/>
    <d v="2024-12-08T00:00:00"/>
    <x v="3"/>
    <n v="500000"/>
    <n v="59599"/>
    <n v="0"/>
    <x v="0"/>
    <n v="900000"/>
    <s v="Visita en zona"/>
    <x v="1"/>
    <s v="Femenino"/>
    <n v="43"/>
    <s v="Ampliación de cupo"/>
    <s v="Microempresa"/>
    <n v="0"/>
    <n v="0"/>
    <s v="Soacha"/>
    <s v="NO"/>
  </r>
  <r>
    <s v="CLI_0200"/>
    <x v="4"/>
    <s v="Santander"/>
    <n v="7107519"/>
    <n v="-73128771"/>
    <d v="2026-07-01T00:00:00"/>
    <x v="3"/>
    <n v="6000000"/>
    <n v="2665742"/>
    <n v="0"/>
    <x v="3"/>
    <n v="3500000"/>
    <s v="Aliado comercial"/>
    <x v="3"/>
    <s v="Masculino"/>
    <n v="30"/>
    <s v="Ampliación de cupo"/>
    <s v="Mediana empresa"/>
    <n v="0"/>
    <n v="0"/>
    <s v="Cali"/>
    <s v="NO"/>
  </r>
  <r>
    <s v="CLI_0201"/>
    <x v="8"/>
    <s v="Valle del Cauca"/>
    <n v="3372312"/>
    <n v="-76577633"/>
    <d v="2023-09-06T00:00:00"/>
    <x v="0"/>
    <n v="1200000"/>
    <n v="887372"/>
    <n v="30"/>
    <x v="2"/>
    <n v="900000"/>
    <s v="Visita en zona"/>
    <x v="5"/>
    <s v="Femenino"/>
    <n v="60"/>
    <s v="Reestructuración de deuda"/>
    <s v="Microempresa"/>
    <n v="0"/>
    <n v="0"/>
    <s v="Barranquilla"/>
    <s v="NO"/>
  </r>
  <r>
    <s v="CLI_0202"/>
    <x v="5"/>
    <s v="Antioquia"/>
    <n v="6299277"/>
    <n v="-75499978"/>
    <d v="2026-10-04T00:00:00"/>
    <x v="0"/>
    <n v="2500000"/>
    <n v="2302572"/>
    <n v="0"/>
    <x v="2"/>
    <n v="2000000"/>
    <s v="Digital"/>
    <x v="7"/>
    <s v="Masculino"/>
    <n v="51"/>
    <s v="Educación financiera + seguro"/>
    <s v="Pequeña empresa"/>
    <n v="0"/>
    <n v="0"/>
    <s v="Pereira"/>
    <s v="NO"/>
  </r>
  <r>
    <s v="CLI_0203"/>
    <x v="6"/>
    <s v="Antioquia"/>
    <n v="6222098"/>
    <n v="-75579242"/>
    <d v="2024-06-04T00:00:00"/>
    <x v="3"/>
    <n v="1200000"/>
    <n v="1057056"/>
    <n v="0"/>
    <x v="2"/>
    <n v="3500000"/>
    <s v="Referido"/>
    <x v="6"/>
    <s v="Femenino"/>
    <n v="55"/>
    <s v="Educación financiera + seguro"/>
    <s v="Mediana empresa"/>
    <n v="0"/>
    <n v="0"/>
    <s v="Itagüí"/>
    <s v="SI"/>
  </r>
  <r>
    <s v="CLI_0204"/>
    <x v="0"/>
    <s v="Cundinamarca"/>
    <n v="461025"/>
    <n v="-74214868"/>
    <d v="2024-08-21T00:00:00"/>
    <x v="3"/>
    <n v="1800000"/>
    <n v="1092532"/>
    <n v="0"/>
    <x v="0"/>
    <n v="2000000"/>
    <s v="Visita en zona"/>
    <x v="5"/>
    <s v="Masculino"/>
    <n v="33"/>
    <s v="Educación financiera + seguro"/>
    <s v="Pequeña empresa"/>
    <n v="0"/>
    <n v="0"/>
    <s v="Barranquilla"/>
    <s v="NO"/>
  </r>
  <r>
    <s v="CLI_0205"/>
    <x v="7"/>
    <s v="Cundinamarca"/>
    <n v="4653447"/>
    <n v="-74101767"/>
    <d v="2026-03-07T00:00:00"/>
    <x v="1"/>
    <n v="1800000"/>
    <n v="1127697"/>
    <n v="45"/>
    <x v="0"/>
    <n v="900000"/>
    <s v="Aliado comercial"/>
    <x v="5"/>
    <s v="Masculino"/>
    <n v="50"/>
    <s v="Reestructuración de deuda"/>
    <s v="Microempresa"/>
    <n v="1127697"/>
    <n v="1"/>
    <s v="Barranquilla"/>
    <s v="NO"/>
  </r>
  <r>
    <s v="CLI_0206"/>
    <x v="8"/>
    <s v="Valle del Cauca"/>
    <n v="3481151"/>
    <n v="-76545499"/>
    <d v="2023-04-10T00:00:00"/>
    <x v="2"/>
    <n v="6000000"/>
    <n v="2863644"/>
    <n v="0"/>
    <x v="2"/>
    <n v="2800000"/>
    <s v="Visita en zona"/>
    <x v="4"/>
    <s v="Femenino"/>
    <n v="61"/>
    <s v="Ampliación de cupo"/>
    <s v="Pequeña empresa"/>
    <n v="0"/>
    <n v="0"/>
    <s v="Bucaramanga"/>
    <s v="NO"/>
  </r>
  <r>
    <s v="CLI_0207"/>
    <x v="7"/>
    <s v="Cundinamarca"/>
    <n v="4657913"/>
    <n v="-74078929"/>
    <d v="2023-10-04T00:00:00"/>
    <x v="0"/>
    <n v="4000000"/>
    <n v="3026662"/>
    <n v="0"/>
    <x v="0"/>
    <n v="2800000"/>
    <s v="Feria empresarial"/>
    <x v="4"/>
    <s v="Masculino"/>
    <n v="25"/>
    <s v="Educación financiera + seguro"/>
    <s v="Pequeña empresa"/>
    <n v="0"/>
    <n v="0"/>
    <s v="Bucaramanga"/>
    <s v="NO"/>
  </r>
  <r>
    <s v="CLI_0208"/>
    <x v="1"/>
    <s v="Antioquia"/>
    <n v="6285801"/>
    <n v="-75590581"/>
    <d v="2024-05-28T00:00:00"/>
    <x v="2"/>
    <n v="800000"/>
    <n v="753047"/>
    <n v="0"/>
    <x v="3"/>
    <n v="3500000"/>
    <s v="Feria empresarial"/>
    <x v="1"/>
    <s v="Masculino"/>
    <n v="53"/>
    <s v="Educación financiera + seguro"/>
    <s v="Mediana empresa"/>
    <n v="0"/>
    <n v="0"/>
    <s v="Soacha"/>
    <s v="NO"/>
  </r>
  <r>
    <s v="CLI_0209"/>
    <x v="5"/>
    <s v="Antioquia"/>
    <n v="6327551"/>
    <n v="-75478967"/>
    <d v="2025-12-20T00:00:00"/>
    <x v="1"/>
    <n v="6000000"/>
    <n v="4740633"/>
    <n v="0"/>
    <x v="1"/>
    <n v="3500000"/>
    <s v="Aliado comercial"/>
    <x v="6"/>
    <s v="Femenino"/>
    <n v="63"/>
    <s v="Educación financiera + seguro"/>
    <s v="Mediana empresa"/>
    <n v="0"/>
    <n v="0"/>
    <s v="Itagüí"/>
    <s v="NO"/>
  </r>
  <r>
    <s v="CLI_0210"/>
    <x v="2"/>
    <s v="Antioquia"/>
    <n v="6204965"/>
    <n v="-7532573"/>
    <d v="2024-06-23T00:00:00"/>
    <x v="0"/>
    <n v="2500000"/>
    <n v="995483"/>
    <n v="0"/>
    <x v="2"/>
    <n v="2800000"/>
    <s v="Aliado comercial"/>
    <x v="9"/>
    <s v="Femenino"/>
    <n v="40"/>
    <s v="Ampliación de cupo"/>
    <s v="Pequeña empresa"/>
    <n v="0"/>
    <n v="0"/>
    <s v="Bogotá"/>
    <s v="NO"/>
  </r>
  <r>
    <s v="CLI_0211"/>
    <x v="4"/>
    <s v="Santander"/>
    <n v="7196978"/>
    <n v="-73094012"/>
    <d v="2023-05-28T00:00:00"/>
    <x v="3"/>
    <n v="500000"/>
    <n v="107625"/>
    <n v="15"/>
    <x v="1"/>
    <n v="2000000"/>
    <s v="Visita en zona"/>
    <x v="6"/>
    <s v="Femenino"/>
    <n v="58"/>
    <s v="Plan de alivio de pagos"/>
    <s v="Pequeña empresa"/>
    <n v="0"/>
    <n v="0"/>
    <s v="Itagüí"/>
    <s v="NO"/>
  </r>
  <r>
    <s v="CLI_0212"/>
    <x v="0"/>
    <s v="Cundinamarca"/>
    <n v="4631857"/>
    <n v="-74174764"/>
    <d v="2025-11-14T00:00:00"/>
    <x v="1"/>
    <n v="4000000"/>
    <n v="1735183"/>
    <n v="0"/>
    <x v="3"/>
    <n v="3500000"/>
    <s v="Referido"/>
    <x v="0"/>
    <s v="Masculino"/>
    <n v="24"/>
    <s v="Ampliación de cupo"/>
    <s v="Mediana empresa"/>
    <n v="0"/>
    <n v="0"/>
    <s v="Bello"/>
    <s v="NO"/>
  </r>
  <r>
    <s v="CLI_0213"/>
    <x v="8"/>
    <s v="Valle del Cauca"/>
    <n v="3454098"/>
    <n v="-76567484"/>
    <d v="2023-12-03T00:00:00"/>
    <x v="1"/>
    <n v="1200000"/>
    <n v="583790"/>
    <n v="0"/>
    <x v="2"/>
    <n v="2800000"/>
    <s v="Referido"/>
    <x v="4"/>
    <s v="Masculino"/>
    <n v="32"/>
    <s v="Ampliación de cupo"/>
    <s v="Pequeña empresa"/>
    <n v="0"/>
    <n v="0"/>
    <s v="Bucaramanga"/>
    <s v="NO"/>
  </r>
  <r>
    <s v="CLI_0214"/>
    <x v="8"/>
    <s v="Valle del Cauca"/>
    <n v="3406453"/>
    <n v="-76543257"/>
    <d v="2025-09-19T00:00:00"/>
    <x v="3"/>
    <n v="800000"/>
    <n v="416406"/>
    <n v="0"/>
    <x v="0"/>
    <n v="1600000"/>
    <s v="Digital"/>
    <x v="1"/>
    <s v="Masculino"/>
    <n v="62"/>
    <s v="Educación financiera + seguro"/>
    <s v="Pequeña empresa"/>
    <n v="0"/>
    <n v="0"/>
    <s v="Soacha"/>
    <s v="NO"/>
  </r>
  <r>
    <s v="CLI_0215"/>
    <x v="1"/>
    <s v="Antioquia"/>
    <n v="6171551"/>
    <n v="-75561011"/>
    <d v="2026-08-01T00:00:00"/>
    <x v="1"/>
    <n v="6000000"/>
    <n v="2943867"/>
    <n v="0"/>
    <x v="1"/>
    <n v="1300000"/>
    <s v="Visita en zona"/>
    <x v="9"/>
    <s v="Femenino"/>
    <n v="28"/>
    <s v="Ampliación de cupo"/>
    <s v="Microempresa"/>
    <n v="0"/>
    <n v="0"/>
    <s v="Bogotá"/>
    <s v="NO"/>
  </r>
  <r>
    <s v="CLI_0216"/>
    <x v="6"/>
    <s v="Antioquia"/>
    <n v="6231808"/>
    <n v="-75551945"/>
    <d v="2024-01-13T00:00:00"/>
    <x v="0"/>
    <n v="500000"/>
    <n v="328200"/>
    <n v="0"/>
    <x v="1"/>
    <n v="1600000"/>
    <s v="Digital"/>
    <x v="0"/>
    <s v="Masculino"/>
    <n v="42"/>
    <s v="Educación financiera + seguro"/>
    <s v="Pequeña empresa"/>
    <n v="0"/>
    <n v="0"/>
    <s v="Bello"/>
    <s v="NO"/>
  </r>
  <r>
    <s v="CLI_0217"/>
    <x v="5"/>
    <s v="Antioquia"/>
    <n v="6257474"/>
    <n v="-75561711"/>
    <d v="2023-01-23T00:00:00"/>
    <x v="0"/>
    <n v="800000"/>
    <n v="483702"/>
    <n v="0"/>
    <x v="4"/>
    <n v="2000000"/>
    <s v="Digital"/>
    <x v="6"/>
    <s v="Femenino"/>
    <n v="43"/>
    <s v="Educación financiera + seguro"/>
    <s v="Pequeña empresa"/>
    <n v="0"/>
    <n v="0"/>
    <s v="Itagüí"/>
    <s v="NO"/>
  </r>
  <r>
    <s v="CLI_0218"/>
    <x v="3"/>
    <s v="Atlántico"/>
    <n v="10895233"/>
    <n v="-74815109"/>
    <d v="2025-03-13T00:00:00"/>
    <x v="3"/>
    <n v="4000000"/>
    <n v="3140253"/>
    <n v="0"/>
    <x v="1"/>
    <n v="1600000"/>
    <s v="Referido"/>
    <x v="4"/>
    <s v="Masculino"/>
    <n v="21"/>
    <s v="Educación financiera + seguro"/>
    <s v="Pequeña empresa"/>
    <n v="0"/>
    <n v="0"/>
    <s v="Bucaramanga"/>
    <s v="NO"/>
  </r>
  <r>
    <s v="CLI_0219"/>
    <x v="9"/>
    <s v="Risaralda"/>
    <n v="4735656"/>
    <n v="-75670597"/>
    <d v="2024-07-20T00:00:00"/>
    <x v="1"/>
    <n v="1800000"/>
    <n v="717317"/>
    <n v="0"/>
    <x v="1"/>
    <n v="3500000"/>
    <s v="Referido"/>
    <x v="0"/>
    <s v="Femenino"/>
    <n v="58"/>
    <s v="Ampliación de cupo"/>
    <s v="Mediana empresa"/>
    <n v="0"/>
    <n v="0"/>
    <s v="Bello"/>
    <s v="NO"/>
  </r>
  <r>
    <s v="CLI_0220"/>
    <x v="6"/>
    <s v="Antioquia"/>
    <n v="6212291"/>
    <n v="-75597868"/>
    <d v="2024-05-21T00:00:00"/>
    <x v="2"/>
    <n v="1800000"/>
    <n v="717850"/>
    <n v="0"/>
    <x v="1"/>
    <n v="1300000"/>
    <s v="Aliado comercial"/>
    <x v="7"/>
    <s v="Masculino"/>
    <n v="56"/>
    <s v="Ampliación de cupo"/>
    <s v="Microempresa"/>
    <n v="0"/>
    <n v="0"/>
    <s v="Pereira"/>
    <s v="NO"/>
  </r>
  <r>
    <s v="CLI_0221"/>
    <x v="9"/>
    <s v="Risaralda"/>
    <n v="4849689"/>
    <n v="-75729013"/>
    <d v="2024-09-20T00:00:00"/>
    <x v="3"/>
    <n v="4000000"/>
    <n v="491203"/>
    <n v="30"/>
    <x v="3"/>
    <n v="1600000"/>
    <s v="Feria empresarial"/>
    <x v="8"/>
    <s v="Femenino"/>
    <n v="56"/>
    <s v="Reestructuración de deuda"/>
    <s v="Pequeña empresa"/>
    <n v="0"/>
    <n v="0"/>
    <s v="Medellín"/>
    <s v="NO"/>
  </r>
  <r>
    <s v="CLI_0222"/>
    <x v="2"/>
    <s v="Antioquia"/>
    <n v="6153982"/>
    <n v="-75436561"/>
    <d v="2025-06-05T00:00:00"/>
    <x v="1"/>
    <n v="1800000"/>
    <n v="1156266"/>
    <n v="0"/>
    <x v="0"/>
    <n v="900000"/>
    <s v="Digital"/>
    <x v="1"/>
    <s v="Femenino"/>
    <n v="45"/>
    <s v="Educación financiera + seguro"/>
    <s v="Microempresa"/>
    <n v="0"/>
    <n v="0"/>
    <s v="Soacha"/>
    <s v="NO"/>
  </r>
  <r>
    <s v="CLI_0223"/>
    <x v="4"/>
    <s v="Santander"/>
    <n v="7148571"/>
    <n v="-73080664"/>
    <d v="2025-04-02T00:00:00"/>
    <x v="2"/>
    <n v="6000000"/>
    <n v="972258"/>
    <n v="0"/>
    <x v="3"/>
    <n v="900000"/>
    <s v="Aliado comercial"/>
    <x v="9"/>
    <s v="Masculino"/>
    <n v="38"/>
    <s v="Ampliación de cupo"/>
    <s v="Microempresa"/>
    <n v="0"/>
    <n v="0"/>
    <s v="Bogotá"/>
    <s v="NO"/>
  </r>
  <r>
    <s v="CLI_0224"/>
    <x v="4"/>
    <s v="Santander"/>
    <n v="7162038"/>
    <n v="-73134928"/>
    <d v="2024-05-03T00:00:00"/>
    <x v="0"/>
    <n v="1800000"/>
    <n v="306115"/>
    <n v="0"/>
    <x v="4"/>
    <n v="2800000"/>
    <s v="Aliado comercial"/>
    <x v="2"/>
    <s v="Femenino"/>
    <n v="56"/>
    <s v="Ampliación de cupo"/>
    <s v="Pequeña empresa"/>
    <n v="0"/>
    <n v="0"/>
    <s v="Rionegro"/>
    <s v="NO"/>
  </r>
  <r>
    <s v="CLI_0225"/>
    <x v="6"/>
    <s v="Antioquia"/>
    <n v="6177722"/>
    <n v="-75629683"/>
    <d v="2023-05-23T00:00:00"/>
    <x v="1"/>
    <n v="4000000"/>
    <n v="2994962"/>
    <n v="5"/>
    <x v="1"/>
    <n v="3500000"/>
    <s v="Referido"/>
    <x v="2"/>
    <s v="Femenino"/>
    <n v="29"/>
    <s v="Plan de alivio de pagos"/>
    <s v="Mediana empresa"/>
    <n v="0"/>
    <n v="0"/>
    <s v="Rionegro"/>
    <s v="NO"/>
  </r>
  <r>
    <s v="CLI_0226"/>
    <x v="5"/>
    <s v="Antioquia"/>
    <n v="640524"/>
    <n v="-75619442"/>
    <d v="2024-02-01T00:00:00"/>
    <x v="3"/>
    <n v="2500000"/>
    <n v="1543769"/>
    <n v="0"/>
    <x v="4"/>
    <n v="3500000"/>
    <s v="Visita en zona"/>
    <x v="5"/>
    <s v="Femenino"/>
    <n v="49"/>
    <s v="Educación financiera + seguro"/>
    <s v="Mediana empresa"/>
    <n v="0"/>
    <n v="0"/>
    <s v="Barranquilla"/>
    <s v="NO"/>
  </r>
  <r>
    <s v="CLI_0227"/>
    <x v="0"/>
    <s v="Cundinamarca"/>
    <n v="4582981"/>
    <n v="-74171322"/>
    <d v="2025-12-04T00:00:00"/>
    <x v="2"/>
    <n v="4000000"/>
    <n v="1281440"/>
    <n v="0"/>
    <x v="2"/>
    <n v="3500000"/>
    <s v="Digital"/>
    <x v="9"/>
    <s v="Femenino"/>
    <n v="21"/>
    <s v="Ampliación de cupo"/>
    <s v="Mediana empresa"/>
    <n v="0"/>
    <n v="0"/>
    <s v="Bogotá"/>
    <s v="NO"/>
  </r>
  <r>
    <s v="CLI_0228"/>
    <x v="4"/>
    <s v="Santander"/>
    <n v="704952"/>
    <n v="-73088728"/>
    <d v="2025-01-16T00:00:00"/>
    <x v="3"/>
    <n v="2500000"/>
    <n v="1583507"/>
    <n v="0"/>
    <x v="2"/>
    <n v="2800000"/>
    <s v="Visita en zona"/>
    <x v="9"/>
    <s v="Masculino"/>
    <n v="47"/>
    <s v="Educación financiera + seguro"/>
    <s v="Pequeña empresa"/>
    <n v="0"/>
    <n v="0"/>
    <s v="Bogotá"/>
    <s v="NO"/>
  </r>
  <r>
    <s v="CLI_0229"/>
    <x v="5"/>
    <s v="Antioquia"/>
    <n v="6400383"/>
    <n v="-75530141"/>
    <d v="2023-04-02T00:00:00"/>
    <x v="1"/>
    <n v="500000"/>
    <n v="147072"/>
    <n v="0"/>
    <x v="2"/>
    <n v="900000"/>
    <s v="Digital"/>
    <x v="6"/>
    <s v="Femenino"/>
    <n v="54"/>
    <s v="Ampliación de cupo"/>
    <s v="Microempresa"/>
    <n v="0"/>
    <n v="0"/>
    <s v="Itagüí"/>
    <s v="NO"/>
  </r>
  <r>
    <s v="CLI_0230"/>
    <x v="6"/>
    <s v="Antioquia"/>
    <n v="6240886"/>
    <n v="-75555002"/>
    <d v="2026-04-11T00:00:00"/>
    <x v="3"/>
    <n v="2500000"/>
    <n v="1956620"/>
    <n v="15"/>
    <x v="3"/>
    <n v="3500000"/>
    <s v="Feria empresarial"/>
    <x v="9"/>
    <s v="Masculino"/>
    <n v="37"/>
    <s v="Plan de alivio de pagos"/>
    <s v="Mediana empresa"/>
    <n v="0"/>
    <n v="0"/>
    <s v="Bogotá"/>
    <s v="NO"/>
  </r>
  <r>
    <s v="CLI_0231"/>
    <x v="5"/>
    <s v="Antioquia"/>
    <n v="6348746"/>
    <n v="-75618896"/>
    <d v="2023-07-03T00:00:00"/>
    <x v="1"/>
    <n v="4000000"/>
    <n v="3466599"/>
    <n v="0"/>
    <x v="2"/>
    <n v="2800000"/>
    <s v="Feria empresarial"/>
    <x v="1"/>
    <s v="Masculino"/>
    <n v="35"/>
    <s v="Educación financiera + seguro"/>
    <s v="Pequeña empresa"/>
    <n v="0"/>
    <n v="0"/>
    <s v="Soacha"/>
    <s v="NO"/>
  </r>
  <r>
    <s v="CLI_0232"/>
    <x v="5"/>
    <s v="Antioquia"/>
    <n v="6345795"/>
    <n v="-75636725"/>
    <d v="2024-08-12T00:00:00"/>
    <x v="1"/>
    <n v="800000"/>
    <n v="278285"/>
    <n v="30"/>
    <x v="1"/>
    <n v="3500000"/>
    <s v="Aliado comercial"/>
    <x v="2"/>
    <s v="Masculino"/>
    <n v="45"/>
    <s v="Reestructuración de deuda"/>
    <s v="Mediana empresa"/>
    <n v="0"/>
    <n v="0"/>
    <s v="Rionegro"/>
    <s v="NO"/>
  </r>
  <r>
    <s v="CLI_0233"/>
    <x v="6"/>
    <s v="Antioquia"/>
    <n v="609292"/>
    <n v="-75626594"/>
    <d v="2023-06-01T00:00:00"/>
    <x v="1"/>
    <n v="800000"/>
    <n v="448251"/>
    <n v="5"/>
    <x v="2"/>
    <n v="3500000"/>
    <s v="Referido"/>
    <x v="2"/>
    <s v="Femenino"/>
    <n v="41"/>
    <s v="Plan de alivio de pagos"/>
    <s v="Mediana empresa"/>
    <n v="0"/>
    <n v="0"/>
    <s v="Rionegro"/>
    <s v="NO"/>
  </r>
  <r>
    <s v="CLI_0234"/>
    <x v="4"/>
    <s v="Santander"/>
    <n v="7196599"/>
    <n v="-73135529"/>
    <d v="2023-01-08T00:00:00"/>
    <x v="1"/>
    <n v="500000"/>
    <n v="463338"/>
    <n v="0"/>
    <x v="2"/>
    <n v="1600000"/>
    <s v="Digital"/>
    <x v="0"/>
    <s v="Femenino"/>
    <n v="31"/>
    <s v="Educación financiera + seguro"/>
    <s v="Pequeña empresa"/>
    <n v="0"/>
    <n v="0"/>
    <s v="Bello"/>
    <s v="NO"/>
  </r>
  <r>
    <s v="CLI_0235"/>
    <x v="9"/>
    <s v="Risaralda"/>
    <n v="4749592"/>
    <n v="-75753238"/>
    <d v="2026-11-05T00:00:00"/>
    <x v="3"/>
    <n v="6000000"/>
    <n v="2611192"/>
    <n v="0"/>
    <x v="2"/>
    <n v="900000"/>
    <s v="Feria empresarial"/>
    <x v="1"/>
    <s v="Masculino"/>
    <n v="61"/>
    <s v="Ampliación de cupo"/>
    <s v="Microempresa"/>
    <n v="0"/>
    <n v="0"/>
    <s v="Soacha"/>
    <s v="NO"/>
  </r>
  <r>
    <s v="CLI_0236"/>
    <x v="8"/>
    <s v="Valle del Cauca"/>
    <n v="3483716"/>
    <n v="-76494344"/>
    <d v="2024-10-04T00:00:00"/>
    <x v="3"/>
    <n v="1200000"/>
    <n v="581813"/>
    <n v="0"/>
    <x v="4"/>
    <n v="1300000"/>
    <s v="Visita en zona"/>
    <x v="5"/>
    <s v="Femenino"/>
    <n v="23"/>
    <s v="Ampliación de cupo"/>
    <s v="Microempresa"/>
    <n v="0"/>
    <n v="0"/>
    <s v="Barranquilla"/>
    <s v="NO"/>
  </r>
  <r>
    <s v="CLI_0237"/>
    <x v="3"/>
    <s v="Atlántico"/>
    <n v="10934145"/>
    <n v="-74857082"/>
    <d v="2026-05-28T00:00:00"/>
    <x v="2"/>
    <n v="1200000"/>
    <n v="1103927"/>
    <n v="0"/>
    <x v="4"/>
    <n v="1600000"/>
    <s v="Visita en zona"/>
    <x v="9"/>
    <s v="Femenino"/>
    <n v="61"/>
    <s v="Educación financiera + seguro"/>
    <s v="Pequeña empresa"/>
    <n v="0"/>
    <n v="0"/>
    <s v="Bogotá"/>
    <s v="NO"/>
  </r>
  <r>
    <s v="CLI_0238"/>
    <x v="9"/>
    <s v="Risaralda"/>
    <n v="4740753"/>
    <n v="-75640852"/>
    <d v="2026-09-02T00:00:00"/>
    <x v="0"/>
    <n v="1200000"/>
    <n v="271290"/>
    <n v="15"/>
    <x v="2"/>
    <n v="1600000"/>
    <s v="Visita en zona"/>
    <x v="8"/>
    <s v="Masculino"/>
    <n v="43"/>
    <s v="Plan de alivio de pagos"/>
    <s v="Pequeña empresa"/>
    <n v="0"/>
    <n v="0"/>
    <s v="Medellín"/>
    <s v="NO"/>
  </r>
  <r>
    <s v="CLI_0239"/>
    <x v="8"/>
    <s v="Valle del Cauca"/>
    <n v="3508336"/>
    <n v="-76523047"/>
    <d v="2023-01-02T00:00:00"/>
    <x v="3"/>
    <n v="2500000"/>
    <n v="780937"/>
    <n v="0"/>
    <x v="1"/>
    <n v="1300000"/>
    <s v="Visita en zona"/>
    <x v="3"/>
    <s v="Femenino"/>
    <n v="48"/>
    <s v="Ampliación de cupo"/>
    <s v="Microempresa"/>
    <n v="0"/>
    <n v="0"/>
    <s v="Cali"/>
    <s v="SI"/>
  </r>
  <r>
    <s v="CLI_0240"/>
    <x v="0"/>
    <s v="Cundinamarca"/>
    <n v="4609106"/>
    <n v="-74146588"/>
    <d v="2023-02-07T00:00:00"/>
    <x v="1"/>
    <n v="500000"/>
    <n v="297488"/>
    <n v="0"/>
    <x v="1"/>
    <n v="900000"/>
    <s v="Referido"/>
    <x v="1"/>
    <s v="Masculino"/>
    <n v="21"/>
    <s v="Educación financiera + seguro"/>
    <s v="Microempresa"/>
    <n v="0"/>
    <n v="0"/>
    <s v="Soacha"/>
    <s v="SI"/>
  </r>
  <r>
    <s v="CLI_0241"/>
    <x v="5"/>
    <s v="Antioquia"/>
    <n v="6264131"/>
    <n v="-75564241"/>
    <d v="2026-08-01T00:00:00"/>
    <x v="1"/>
    <n v="800000"/>
    <n v="708410"/>
    <n v="0"/>
    <x v="3"/>
    <n v="3500000"/>
    <s v="Visita en zona"/>
    <x v="1"/>
    <s v="Masculino"/>
    <n v="55"/>
    <s v="Educación financiera + seguro"/>
    <s v="Mediana empresa"/>
    <n v="0"/>
    <n v="0"/>
    <s v="Soacha"/>
    <s v="NO"/>
  </r>
  <r>
    <s v="CLI_0242"/>
    <x v="2"/>
    <s v="Antioquia"/>
    <n v="6220129"/>
    <n v="-75410603"/>
    <d v="2024-11-10T00:00:00"/>
    <x v="1"/>
    <n v="1800000"/>
    <n v="1531638"/>
    <n v="0"/>
    <x v="3"/>
    <n v="2800000"/>
    <s v="Aliado comercial"/>
    <x v="5"/>
    <s v="Femenino"/>
    <n v="47"/>
    <s v="Educación financiera + seguro"/>
    <s v="Pequeña empresa"/>
    <n v="0"/>
    <n v="0"/>
    <s v="Barranquilla"/>
    <s v="NO"/>
  </r>
  <r>
    <s v="CLI_0243"/>
    <x v="1"/>
    <s v="Antioquia"/>
    <n v="6178235"/>
    <n v="-75599918"/>
    <d v="2024-11-26T00:00:00"/>
    <x v="2"/>
    <n v="1800000"/>
    <n v="485170"/>
    <n v="45"/>
    <x v="3"/>
    <n v="2800000"/>
    <s v="Feria empresarial"/>
    <x v="5"/>
    <s v="Femenino"/>
    <n v="50"/>
    <s v="Reestructuración de deuda"/>
    <s v="Pequeña empresa"/>
    <n v="485170"/>
    <n v="1"/>
    <s v="Barranquilla"/>
    <s v="NO"/>
  </r>
  <r>
    <s v="CLI_0244"/>
    <x v="4"/>
    <s v="Santander"/>
    <n v="716433"/>
    <n v="-73147655"/>
    <d v="2023-06-20T00:00:00"/>
    <x v="3"/>
    <n v="2500000"/>
    <n v="1317586"/>
    <n v="0"/>
    <x v="4"/>
    <n v="1300000"/>
    <s v="Feria empresarial"/>
    <x v="8"/>
    <s v="Femenino"/>
    <n v="60"/>
    <s v="Educación financiera + seguro"/>
    <s v="Microempresa"/>
    <n v="0"/>
    <n v="0"/>
    <s v="Medellín"/>
    <s v="NO"/>
  </r>
  <r>
    <s v="CLI_0245"/>
    <x v="3"/>
    <s v="Atlántico"/>
    <n v="10968609"/>
    <n v="-74753705"/>
    <d v="2024-05-18T00:00:00"/>
    <x v="2"/>
    <n v="800000"/>
    <n v="742306"/>
    <n v="0"/>
    <x v="1"/>
    <n v="3500000"/>
    <s v="Aliado comercial"/>
    <x v="3"/>
    <s v="Femenino"/>
    <n v="58"/>
    <s v="Educación financiera + seguro"/>
    <s v="Mediana empresa"/>
    <n v="0"/>
    <n v="0"/>
    <s v="Cali"/>
    <s v="NO"/>
  </r>
  <r>
    <s v="CLI_0246"/>
    <x v="0"/>
    <s v="Cundinamarca"/>
    <n v="4648933"/>
    <n v="-74137953"/>
    <d v="2025-10-01T00:00:00"/>
    <x v="0"/>
    <n v="800000"/>
    <n v="199748"/>
    <n v="0"/>
    <x v="0"/>
    <n v="3500000"/>
    <s v="Aliado comercial"/>
    <x v="6"/>
    <s v="Masculino"/>
    <n v="34"/>
    <s v="Ampliación de cupo"/>
    <s v="Mediana empresa"/>
    <n v="0"/>
    <n v="0"/>
    <s v="Itagüí"/>
    <s v="NO"/>
  </r>
  <r>
    <s v="CLI_0247"/>
    <x v="9"/>
    <s v="Risaralda"/>
    <n v="4886039"/>
    <n v="-75640729"/>
    <d v="2024-08-02T00:00:00"/>
    <x v="2"/>
    <n v="6000000"/>
    <n v="5096294"/>
    <n v="0"/>
    <x v="4"/>
    <n v="1600000"/>
    <s v="Visita en zona"/>
    <x v="7"/>
    <s v="Masculino"/>
    <n v="42"/>
    <s v="Educación financiera + seguro"/>
    <s v="Pequeña empresa"/>
    <n v="0"/>
    <n v="0"/>
    <s v="Pereira"/>
    <s v="SI"/>
  </r>
  <r>
    <s v="CLI_0248"/>
    <x v="2"/>
    <s v="Antioquia"/>
    <n v="6077988"/>
    <n v="-75378122"/>
    <d v="2025-12-06T00:00:00"/>
    <x v="0"/>
    <n v="1200000"/>
    <n v="1056254"/>
    <n v="0"/>
    <x v="4"/>
    <n v="1300000"/>
    <s v="Referido"/>
    <x v="6"/>
    <s v="Masculino"/>
    <n v="38"/>
    <s v="Educación financiera + seguro"/>
    <s v="Microempresa"/>
    <n v="0"/>
    <n v="0"/>
    <s v="Itagüí"/>
    <s v="NO"/>
  </r>
  <r>
    <s v="CLI_0249"/>
    <x v="9"/>
    <s v="Risaralda"/>
    <n v="4847051"/>
    <n v="-75751936"/>
    <d v="2025-12-22T00:00:00"/>
    <x v="1"/>
    <n v="500000"/>
    <n v="409754"/>
    <n v="45"/>
    <x v="0"/>
    <n v="900000"/>
    <s v="Referido"/>
    <x v="1"/>
    <s v="Masculino"/>
    <n v="33"/>
    <s v="Reestructuración de deuda"/>
    <s v="Microempresa"/>
    <n v="409754"/>
    <n v="1"/>
    <s v="Soacha"/>
    <s v="NO"/>
  </r>
  <r>
    <s v="CLI_0250"/>
    <x v="7"/>
    <s v="Cundinamarca"/>
    <n v="4682617"/>
    <n v="-73995962"/>
    <d v="2025-03-23T00:00:00"/>
    <x v="0"/>
    <n v="4000000"/>
    <n v="3625558"/>
    <n v="30"/>
    <x v="1"/>
    <n v="2000000"/>
    <s v="Aliado comercial"/>
    <x v="6"/>
    <s v="Masculino"/>
    <n v="40"/>
    <s v="Reestructuración de deuda"/>
    <s v="Pequeña empresa"/>
    <n v="0"/>
    <n v="0"/>
    <s v="Itagüí"/>
    <s v="NO"/>
  </r>
  <r>
    <s v="CLI_0251"/>
    <x v="8"/>
    <s v="Valle del Cauca"/>
    <n v="3420692"/>
    <n v="-7650184"/>
    <d v="2026-10-02T00:00:00"/>
    <x v="3"/>
    <n v="800000"/>
    <n v="200842"/>
    <n v="0"/>
    <x v="0"/>
    <n v="3500000"/>
    <s v="Feria empresarial"/>
    <x v="7"/>
    <s v="Femenino"/>
    <n v="38"/>
    <s v="Ampliación de cupo"/>
    <s v="Mediana empresa"/>
    <n v="0"/>
    <n v="0"/>
    <s v="Pereira"/>
    <s v="NO"/>
  </r>
  <r>
    <s v="CLI_0252"/>
    <x v="2"/>
    <s v="Antioquia"/>
    <n v="6177143"/>
    <n v="-75437942"/>
    <d v="2025-06-06T00:00:00"/>
    <x v="2"/>
    <n v="1800000"/>
    <n v="395184"/>
    <n v="15"/>
    <x v="2"/>
    <n v="1300000"/>
    <s v="Digital"/>
    <x v="8"/>
    <s v="Masculino"/>
    <n v="53"/>
    <s v="Plan de alivio de pagos"/>
    <s v="Microempresa"/>
    <n v="0"/>
    <n v="0"/>
    <s v="Medellín"/>
    <s v="NO"/>
  </r>
  <r>
    <s v="CLI_0253"/>
    <x v="7"/>
    <s v="Cundinamarca"/>
    <n v="4664549"/>
    <n v="-74041192"/>
    <d v="2023-07-15T00:00:00"/>
    <x v="1"/>
    <n v="1200000"/>
    <n v="381791"/>
    <n v="0"/>
    <x v="1"/>
    <n v="900000"/>
    <s v="Digital"/>
    <x v="5"/>
    <s v="Femenino"/>
    <n v="36"/>
    <s v="Ampliación de cupo"/>
    <s v="Microempresa"/>
    <n v="0"/>
    <n v="0"/>
    <s v="Barranquilla"/>
    <s v="NO"/>
  </r>
  <r>
    <s v="CLI_0254"/>
    <x v="8"/>
    <s v="Valle del Cauca"/>
    <n v="3427797"/>
    <n v="-76551944"/>
    <d v="2024-03-15T00:00:00"/>
    <x v="2"/>
    <n v="6000000"/>
    <n v="3045395"/>
    <n v="45"/>
    <x v="4"/>
    <n v="3500000"/>
    <s v="Feria empresarial"/>
    <x v="8"/>
    <s v="Masculino"/>
    <n v="32"/>
    <s v="Reestructuración de deuda"/>
    <s v="Mediana empresa"/>
    <n v="3045395"/>
    <n v="1"/>
    <s v="Medellín"/>
    <s v="NO"/>
  </r>
  <r>
    <s v="CLI_0255"/>
    <x v="0"/>
    <s v="Cundinamarca"/>
    <n v="454108"/>
    <n v="-74279844"/>
    <d v="2023-09-03T00:00:00"/>
    <x v="0"/>
    <n v="1200000"/>
    <n v="293507"/>
    <n v="0"/>
    <x v="0"/>
    <n v="3500000"/>
    <s v="Aliado comercial"/>
    <x v="5"/>
    <s v="Masculino"/>
    <n v="61"/>
    <s v="Ampliación de cupo"/>
    <s v="Mediana empresa"/>
    <n v="0"/>
    <n v="0"/>
    <s v="Barranquilla"/>
    <s v="NO"/>
  </r>
  <r>
    <s v="CLI_0256"/>
    <x v="1"/>
    <s v="Antioquia"/>
    <n v="6233212"/>
    <n v="-75556618"/>
    <d v="2025-04-07T00:00:00"/>
    <x v="1"/>
    <n v="2500000"/>
    <n v="2140726"/>
    <n v="0"/>
    <x v="0"/>
    <n v="900000"/>
    <s v="Aliado comercial"/>
    <x v="9"/>
    <s v="Masculino"/>
    <n v="25"/>
    <s v="Educación financiera + seguro"/>
    <s v="Microempresa"/>
    <n v="0"/>
    <n v="0"/>
    <s v="Bogotá"/>
    <s v="NO"/>
  </r>
  <r>
    <s v="CLI_0257"/>
    <x v="7"/>
    <s v="Cundinamarca"/>
    <n v="4678584"/>
    <n v="-74136753"/>
    <d v="2023-06-01T00:00:00"/>
    <x v="1"/>
    <n v="1800000"/>
    <n v="1054808"/>
    <n v="30"/>
    <x v="4"/>
    <n v="1300000"/>
    <s v="Feria empresarial"/>
    <x v="7"/>
    <s v="Femenino"/>
    <n v="27"/>
    <s v="Reestructuración de deuda"/>
    <s v="Microempresa"/>
    <n v="0"/>
    <n v="0"/>
    <s v="Pereira"/>
    <s v="NO"/>
  </r>
  <r>
    <s v="CLI_0258"/>
    <x v="3"/>
    <s v="Atlántico"/>
    <n v="10915848"/>
    <n v="-74872282"/>
    <d v="2023-05-26T00:00:00"/>
    <x v="1"/>
    <n v="800000"/>
    <n v="513970"/>
    <n v="90"/>
    <x v="3"/>
    <n v="2000000"/>
    <s v="Digital"/>
    <x v="9"/>
    <s v="Femenino"/>
    <n v="45"/>
    <s v="Reestructuración de deuda"/>
    <s v="Pequeña empresa"/>
    <n v="513970"/>
    <n v="1"/>
    <s v="Bogotá"/>
    <s v="NO"/>
  </r>
  <r>
    <s v="CLI_0259"/>
    <x v="5"/>
    <s v="Antioquia"/>
    <n v="6359999"/>
    <n v="-75575996"/>
    <d v="2023-05-15T00:00:00"/>
    <x v="1"/>
    <n v="1200000"/>
    <n v="1023203"/>
    <n v="0"/>
    <x v="2"/>
    <n v="2000000"/>
    <s v="Visita en zona"/>
    <x v="9"/>
    <s v="Femenino"/>
    <n v="48"/>
    <s v="Educación financiera + seguro"/>
    <s v="Pequeña empresa"/>
    <n v="0"/>
    <n v="0"/>
    <s v="Bogotá"/>
    <s v="NO"/>
  </r>
  <r>
    <s v="CLI_0260"/>
    <x v="9"/>
    <s v="Risaralda"/>
    <n v="4744162"/>
    <n v="-75654242"/>
    <d v="2026-10-08T00:00:00"/>
    <x v="2"/>
    <n v="4000000"/>
    <n v="728789"/>
    <n v="5"/>
    <x v="3"/>
    <n v="2800000"/>
    <s v="Aliado comercial"/>
    <x v="3"/>
    <s v="Masculino"/>
    <n v="31"/>
    <s v="Plan de alivio de pagos"/>
    <s v="Pequeña empresa"/>
    <n v="0"/>
    <n v="0"/>
    <s v="Cali"/>
    <s v="NO"/>
  </r>
  <r>
    <s v="CLI_0261"/>
    <x v="4"/>
    <s v="Santander"/>
    <n v="7149231"/>
    <n v="-73052882"/>
    <d v="2026-12-02T00:00:00"/>
    <x v="3"/>
    <n v="2500000"/>
    <n v="2123514"/>
    <n v="0"/>
    <x v="4"/>
    <n v="900000"/>
    <s v="Digital"/>
    <x v="6"/>
    <s v="Femenino"/>
    <n v="27"/>
    <s v="Educación financiera + seguro"/>
    <s v="Microempresa"/>
    <n v="0"/>
    <n v="0"/>
    <s v="Itagüí"/>
    <s v="NO"/>
  </r>
  <r>
    <s v="CLI_0262"/>
    <x v="6"/>
    <s v="Antioquia"/>
    <n v="6247446"/>
    <n v="-75562846"/>
    <d v="2026-04-27T00:00:00"/>
    <x v="3"/>
    <n v="800000"/>
    <n v="109020"/>
    <n v="0"/>
    <x v="0"/>
    <n v="3500000"/>
    <s v="Feria empresarial"/>
    <x v="1"/>
    <s v="Masculino"/>
    <n v="59"/>
    <s v="Ampliación de cupo"/>
    <s v="Mediana empresa"/>
    <n v="0"/>
    <n v="0"/>
    <s v="Soacha"/>
    <s v="NO"/>
  </r>
  <r>
    <s v="CLI_0263"/>
    <x v="5"/>
    <s v="Antioquia"/>
    <n v="6271224"/>
    <n v="-75548982"/>
    <d v="2023-12-20T00:00:00"/>
    <x v="1"/>
    <n v="2500000"/>
    <n v="943019"/>
    <n v="0"/>
    <x v="4"/>
    <n v="2000000"/>
    <s v="Digital"/>
    <x v="6"/>
    <s v="Masculino"/>
    <n v="64"/>
    <s v="Ampliación de cupo"/>
    <s v="Pequeña empresa"/>
    <n v="0"/>
    <n v="0"/>
    <s v="Itagüí"/>
    <s v="NO"/>
  </r>
  <r>
    <s v="CLI_0264"/>
    <x v="6"/>
    <s v="Antioquia"/>
    <n v="6182555"/>
    <n v="-75598972"/>
    <d v="2025-09-12T00:00:00"/>
    <x v="1"/>
    <n v="500000"/>
    <n v="443094"/>
    <n v="0"/>
    <x v="2"/>
    <n v="900000"/>
    <s v="Digital"/>
    <x v="5"/>
    <s v="Masculino"/>
    <n v="38"/>
    <s v="Educación financiera + seguro"/>
    <s v="Microempresa"/>
    <n v="0"/>
    <n v="0"/>
    <s v="Barranquilla"/>
    <s v="NO"/>
  </r>
  <r>
    <s v="CLI_0265"/>
    <x v="9"/>
    <s v="Risaralda"/>
    <n v="4831734"/>
    <n v="-75768605"/>
    <d v="2026-01-13T00:00:00"/>
    <x v="0"/>
    <n v="1200000"/>
    <n v="531033"/>
    <n v="5"/>
    <x v="1"/>
    <n v="3500000"/>
    <s v="Referido"/>
    <x v="5"/>
    <s v="Femenino"/>
    <n v="23"/>
    <s v="Plan de alivio de pagos"/>
    <s v="Mediana empresa"/>
    <n v="0"/>
    <n v="0"/>
    <s v="Barranquilla"/>
    <s v="NO"/>
  </r>
  <r>
    <s v="CLI_0266"/>
    <x v="7"/>
    <s v="Cundinamarca"/>
    <n v="4774525"/>
    <n v="-74148863"/>
    <d v="2023-04-05T00:00:00"/>
    <x v="0"/>
    <n v="6000000"/>
    <n v="4647626"/>
    <n v="0"/>
    <x v="3"/>
    <n v="2000000"/>
    <s v="Feria empresarial"/>
    <x v="9"/>
    <s v="Femenino"/>
    <n v="34"/>
    <s v="Educación financiera + seguro"/>
    <s v="Pequeña empresa"/>
    <n v="0"/>
    <n v="0"/>
    <s v="Bogotá"/>
    <s v="SI"/>
  </r>
  <r>
    <s v="CLI_0267"/>
    <x v="8"/>
    <s v="Valle del Cauca"/>
    <n v="3468397"/>
    <n v="-76597714"/>
    <d v="2026-09-28T00:00:00"/>
    <x v="0"/>
    <n v="1800000"/>
    <n v="503427"/>
    <n v="30"/>
    <x v="4"/>
    <n v="3500000"/>
    <s v="Aliado comercial"/>
    <x v="6"/>
    <s v="Femenino"/>
    <n v="20"/>
    <s v="Reestructuración de deuda"/>
    <s v="Mediana empresa"/>
    <n v="0"/>
    <n v="0"/>
    <s v="Itagüí"/>
    <s v="NO"/>
  </r>
  <r>
    <s v="CLI_0268"/>
    <x v="5"/>
    <s v="Antioquia"/>
    <n v="630708"/>
    <n v="-75556913"/>
    <d v="2023-03-07T00:00:00"/>
    <x v="3"/>
    <n v="800000"/>
    <n v="610751"/>
    <n v="0"/>
    <x v="4"/>
    <n v="2800000"/>
    <s v="Visita en zona"/>
    <x v="8"/>
    <s v="Masculino"/>
    <n v="40"/>
    <s v="Educación financiera + seguro"/>
    <s v="Pequeña empresa"/>
    <n v="0"/>
    <n v="0"/>
    <s v="Medellín"/>
    <s v="NO"/>
  </r>
  <r>
    <s v="CLI_0269"/>
    <x v="3"/>
    <s v="Atlántico"/>
    <n v="10891989"/>
    <n v="-7481874"/>
    <d v="2026-11-04T00:00:00"/>
    <x v="2"/>
    <n v="800000"/>
    <n v="266305"/>
    <n v="30"/>
    <x v="1"/>
    <n v="2800000"/>
    <s v="Feria empresarial"/>
    <x v="5"/>
    <s v="Masculino"/>
    <n v="47"/>
    <s v="Reestructuración de deuda"/>
    <s v="Pequeña empresa"/>
    <n v="0"/>
    <n v="0"/>
    <s v="Barranquilla"/>
    <s v="SI"/>
  </r>
  <r>
    <s v="CLI_0270"/>
    <x v="9"/>
    <s v="Risaralda"/>
    <n v="4805677"/>
    <n v="-75620917"/>
    <d v="2025-12-27T00:00:00"/>
    <x v="2"/>
    <n v="1800000"/>
    <n v="1077927"/>
    <n v="0"/>
    <x v="2"/>
    <n v="1300000"/>
    <s v="Referido"/>
    <x v="3"/>
    <s v="Femenino"/>
    <n v="63"/>
    <s v="Educación financiera + seguro"/>
    <s v="Microempresa"/>
    <n v="0"/>
    <n v="0"/>
    <s v="Cali"/>
    <s v="NO"/>
  </r>
  <r>
    <s v="CLI_0271"/>
    <x v="1"/>
    <s v="Antioquia"/>
    <n v="6190265"/>
    <n v="-75569639"/>
    <d v="2024-05-21T00:00:00"/>
    <x v="1"/>
    <n v="800000"/>
    <n v="662836"/>
    <n v="5"/>
    <x v="0"/>
    <n v="3500000"/>
    <s v="Referido"/>
    <x v="8"/>
    <s v="Femenino"/>
    <n v="57"/>
    <s v="Plan de alivio de pagos"/>
    <s v="Mediana empresa"/>
    <n v="0"/>
    <n v="0"/>
    <s v="Medellín"/>
    <s v="SI"/>
  </r>
  <r>
    <s v="CLI_0272"/>
    <x v="3"/>
    <s v="Atlántico"/>
    <n v="11029742"/>
    <n v="-74772821"/>
    <d v="2025-12-23T00:00:00"/>
    <x v="0"/>
    <n v="2500000"/>
    <n v="1951838"/>
    <n v="0"/>
    <x v="3"/>
    <n v="2800000"/>
    <s v="Digital"/>
    <x v="1"/>
    <s v="Masculino"/>
    <n v="53"/>
    <s v="Educación financiera + seguro"/>
    <s v="Pequeña empresa"/>
    <n v="0"/>
    <n v="0"/>
    <s v="Soacha"/>
    <s v="NO"/>
  </r>
  <r>
    <s v="CLI_0273"/>
    <x v="3"/>
    <s v="Atlántico"/>
    <n v="1092422"/>
    <n v="-74801728"/>
    <d v="2023-01-17T00:00:00"/>
    <x v="0"/>
    <n v="4000000"/>
    <n v="2170169"/>
    <n v="5"/>
    <x v="0"/>
    <n v="2800000"/>
    <s v="Aliado comercial"/>
    <x v="7"/>
    <s v="Femenino"/>
    <n v="39"/>
    <s v="Plan de alivio de pagos"/>
    <s v="Pequeña empresa"/>
    <n v="0"/>
    <n v="0"/>
    <s v="Pereira"/>
    <s v="NO"/>
  </r>
  <r>
    <s v="CLI_0274"/>
    <x v="7"/>
    <s v="Cundinamarca"/>
    <n v="4678756"/>
    <n v="-74134803"/>
    <d v="2025-05-21T00:00:00"/>
    <x v="0"/>
    <n v="500000"/>
    <n v="192921"/>
    <n v="0"/>
    <x v="1"/>
    <n v="1600000"/>
    <s v="Visita en zona"/>
    <x v="4"/>
    <s v="Femenino"/>
    <n v="48"/>
    <s v="Ampliación de cupo"/>
    <s v="Pequeña empresa"/>
    <n v="0"/>
    <n v="0"/>
    <s v="Bucaramanga"/>
    <s v="NO"/>
  </r>
  <r>
    <s v="CLI_0275"/>
    <x v="2"/>
    <s v="Antioquia"/>
    <n v="621875"/>
    <n v="-75325731"/>
    <d v="2024-12-01T00:00:00"/>
    <x v="1"/>
    <n v="6000000"/>
    <n v="4731148"/>
    <n v="0"/>
    <x v="2"/>
    <n v="1600000"/>
    <s v="Feria empresarial"/>
    <x v="3"/>
    <s v="Femenino"/>
    <n v="21"/>
    <s v="Educación financiera + seguro"/>
    <s v="Pequeña empresa"/>
    <n v="0"/>
    <n v="0"/>
    <s v="Cali"/>
    <s v="NO"/>
  </r>
  <r>
    <s v="CLI_0276"/>
    <x v="8"/>
    <s v="Valle del Cauca"/>
    <n v="3433724"/>
    <n v="-76606349"/>
    <d v="2024-11-18T00:00:00"/>
    <x v="1"/>
    <n v="4000000"/>
    <n v="3782163"/>
    <n v="30"/>
    <x v="2"/>
    <n v="1600000"/>
    <s v="Aliado comercial"/>
    <x v="9"/>
    <s v="Femenino"/>
    <n v="45"/>
    <s v="Reestructuración de deuda"/>
    <s v="Pequeña empresa"/>
    <n v="0"/>
    <n v="0"/>
    <s v="Bogotá"/>
    <s v="NO"/>
  </r>
  <r>
    <s v="CLI_0277"/>
    <x v="6"/>
    <s v="Antioquia"/>
    <n v="6226402"/>
    <n v="-75551961"/>
    <d v="2025-12-26T00:00:00"/>
    <x v="3"/>
    <n v="800000"/>
    <n v="279773"/>
    <n v="0"/>
    <x v="2"/>
    <n v="3500000"/>
    <s v="Referido"/>
    <x v="2"/>
    <s v="Masculino"/>
    <n v="29"/>
    <s v="Ampliación de cupo"/>
    <s v="Mediana empresa"/>
    <n v="0"/>
    <n v="0"/>
    <s v="Rionegro"/>
    <s v="NO"/>
  </r>
  <r>
    <s v="CLI_0278"/>
    <x v="0"/>
    <s v="Cundinamarca"/>
    <n v="4535032"/>
    <n v="-74157171"/>
    <d v="2025-08-28T00:00:00"/>
    <x v="2"/>
    <n v="1800000"/>
    <n v="1385778"/>
    <n v="0"/>
    <x v="3"/>
    <n v="1600000"/>
    <s v="Referido"/>
    <x v="7"/>
    <s v="Femenino"/>
    <n v="24"/>
    <s v="Educación financiera + seguro"/>
    <s v="Pequeña empresa"/>
    <n v="0"/>
    <n v="0"/>
    <s v="Pereira"/>
    <s v="NO"/>
  </r>
  <r>
    <s v="CLI_0279"/>
    <x v="9"/>
    <s v="Risaralda"/>
    <n v="4885388"/>
    <n v="-75763205"/>
    <d v="2025-07-02T00:00:00"/>
    <x v="3"/>
    <n v="800000"/>
    <n v="420325"/>
    <n v="45"/>
    <x v="1"/>
    <n v="2000000"/>
    <s v="Visita en zona"/>
    <x v="1"/>
    <s v="Femenino"/>
    <n v="42"/>
    <s v="Reestructuración de deuda"/>
    <s v="Pequeña empresa"/>
    <n v="420325"/>
    <n v="1"/>
    <s v="Soacha"/>
    <s v="NO"/>
  </r>
  <r>
    <s v="CLI_0280"/>
    <x v="8"/>
    <s v="Valle del Cauca"/>
    <n v="3529551"/>
    <n v="-76469145"/>
    <d v="2023-08-11T00:00:00"/>
    <x v="3"/>
    <n v="1800000"/>
    <n v="399133"/>
    <n v="45"/>
    <x v="2"/>
    <n v="1300000"/>
    <s v="Referido"/>
    <x v="8"/>
    <s v="Femenino"/>
    <n v="47"/>
    <s v="Reestructuración de deuda"/>
    <s v="Microempresa"/>
    <n v="399133"/>
    <n v="1"/>
    <s v="Medellín"/>
    <s v="NO"/>
  </r>
  <r>
    <s v="CLI_0281"/>
    <x v="3"/>
    <s v="Atlántico"/>
    <n v="10927664"/>
    <n v="-74754609"/>
    <d v="2024-10-14T00:00:00"/>
    <x v="1"/>
    <n v="800000"/>
    <n v="471870"/>
    <n v="0"/>
    <x v="3"/>
    <n v="900000"/>
    <s v="Digital"/>
    <x v="5"/>
    <s v="Femenino"/>
    <n v="24"/>
    <s v="Educación financiera + seguro"/>
    <s v="Microempresa"/>
    <n v="0"/>
    <n v="0"/>
    <s v="Barranquilla"/>
    <s v="SI"/>
  </r>
  <r>
    <s v="CLI_0282"/>
    <x v="8"/>
    <s v="Valle del Cauca"/>
    <n v="3372347"/>
    <n v="-76526595"/>
    <d v="2024-01-22T00:00:00"/>
    <x v="2"/>
    <n v="4000000"/>
    <n v="1668545"/>
    <n v="0"/>
    <x v="1"/>
    <n v="1600000"/>
    <s v="Visita en zona"/>
    <x v="1"/>
    <s v="Femenino"/>
    <n v="24"/>
    <s v="Ampliación de cupo"/>
    <s v="Pequeña empresa"/>
    <n v="0"/>
    <n v="0"/>
    <s v="Soacha"/>
    <s v="NO"/>
  </r>
  <r>
    <s v="CLI_0283"/>
    <x v="7"/>
    <s v="Cundinamarca"/>
    <n v="4651629"/>
    <n v="-74090732"/>
    <d v="2025-05-15T00:00:00"/>
    <x v="0"/>
    <n v="2500000"/>
    <n v="900495"/>
    <n v="0"/>
    <x v="3"/>
    <n v="900000"/>
    <s v="Visita en zona"/>
    <x v="1"/>
    <s v="Femenino"/>
    <n v="40"/>
    <s v="Ampliación de cupo"/>
    <s v="Microempresa"/>
    <n v="0"/>
    <n v="0"/>
    <s v="Soacha"/>
    <s v="NO"/>
  </r>
  <r>
    <s v="CLI_0284"/>
    <x v="3"/>
    <s v="Atlántico"/>
    <n v="1094138"/>
    <n v="-74846252"/>
    <d v="2024-04-24T00:00:00"/>
    <x v="2"/>
    <n v="6000000"/>
    <n v="2657297"/>
    <n v="0"/>
    <x v="0"/>
    <n v="3500000"/>
    <s v="Aliado comercial"/>
    <x v="6"/>
    <s v="Femenino"/>
    <n v="45"/>
    <s v="Ampliación de cupo"/>
    <s v="Mediana empresa"/>
    <n v="0"/>
    <n v="0"/>
    <s v="Itagüí"/>
    <s v="NO"/>
  </r>
  <r>
    <s v="CLI_0285"/>
    <x v="5"/>
    <s v="Antioquia"/>
    <n v="6315955"/>
    <n v="-75533914"/>
    <d v="2023-10-02T00:00:00"/>
    <x v="2"/>
    <n v="500000"/>
    <n v="209457"/>
    <n v="5"/>
    <x v="4"/>
    <n v="2800000"/>
    <s v="Referido"/>
    <x v="0"/>
    <s v="Masculino"/>
    <n v="37"/>
    <s v="Plan de alivio de pagos"/>
    <s v="Pequeña empresa"/>
    <n v="0"/>
    <n v="0"/>
    <s v="Bello"/>
    <s v="SI"/>
  </r>
  <r>
    <s v="CLI_0286"/>
    <x v="8"/>
    <s v="Valle del Cauca"/>
    <n v="344269"/>
    <n v="-76592225"/>
    <d v="2023-05-14T00:00:00"/>
    <x v="2"/>
    <n v="1200000"/>
    <n v="603884"/>
    <n v="0"/>
    <x v="0"/>
    <n v="3500000"/>
    <s v="Feria empresarial"/>
    <x v="7"/>
    <s v="Masculino"/>
    <n v="42"/>
    <s v="Educación financiera + seguro"/>
    <s v="Mediana empresa"/>
    <n v="0"/>
    <n v="0"/>
    <s v="Pereira"/>
    <s v="NO"/>
  </r>
  <r>
    <s v="CLI_0287"/>
    <x v="9"/>
    <s v="Risaralda"/>
    <n v="4846416"/>
    <n v="-75707588"/>
    <d v="2023-02-16T00:00:00"/>
    <x v="3"/>
    <n v="500000"/>
    <n v="267424"/>
    <n v="5"/>
    <x v="0"/>
    <n v="1600000"/>
    <s v="Visita en zona"/>
    <x v="9"/>
    <s v="Femenino"/>
    <n v="20"/>
    <s v="Plan de alivio de pagos"/>
    <s v="Pequeña empresa"/>
    <n v="0"/>
    <n v="0"/>
    <s v="Bogotá"/>
    <s v="NO"/>
  </r>
  <r>
    <s v="CLI_0288"/>
    <x v="4"/>
    <s v="Santander"/>
    <n v="7194999"/>
    <n v="-73145433"/>
    <d v="2024-12-16T00:00:00"/>
    <x v="0"/>
    <n v="1800000"/>
    <n v="631887"/>
    <n v="0"/>
    <x v="1"/>
    <n v="2000000"/>
    <s v="Referido"/>
    <x v="8"/>
    <s v="Femenino"/>
    <n v="40"/>
    <s v="Ampliación de cupo"/>
    <s v="Pequeña empresa"/>
    <n v="0"/>
    <n v="0"/>
    <s v="Medellín"/>
    <s v="NO"/>
  </r>
  <r>
    <s v="CLI_0289"/>
    <x v="5"/>
    <s v="Antioquia"/>
    <n v="6402401"/>
    <n v="-75504363"/>
    <d v="2023-12-24T00:00:00"/>
    <x v="2"/>
    <n v="4000000"/>
    <n v="2079954"/>
    <n v="60"/>
    <x v="2"/>
    <n v="2800000"/>
    <s v="Visita en zona"/>
    <x v="5"/>
    <s v="Femenino"/>
    <n v="21"/>
    <s v="Reestructuración de deuda"/>
    <s v="Pequeña empresa"/>
    <n v="2079954"/>
    <n v="1"/>
    <s v="Barranquilla"/>
    <s v="NO"/>
  </r>
  <r>
    <s v="CLI_0290"/>
    <x v="7"/>
    <s v="Cundinamarca"/>
    <n v="467326"/>
    <n v="-74144087"/>
    <d v="2025-11-11T00:00:00"/>
    <x v="1"/>
    <n v="6000000"/>
    <n v="1490979"/>
    <n v="0"/>
    <x v="4"/>
    <n v="1600000"/>
    <s v="Referido"/>
    <x v="8"/>
    <s v="Masculino"/>
    <n v="37"/>
    <s v="Ampliación de cupo"/>
    <s v="Pequeña empresa"/>
    <n v="0"/>
    <n v="0"/>
    <s v="Medellín"/>
    <s v="NO"/>
  </r>
  <r>
    <s v="CLI_0291"/>
    <x v="1"/>
    <s v="Antioquia"/>
    <n v="630052"/>
    <n v="-75555063"/>
    <d v="2025-12-03T00:00:00"/>
    <x v="0"/>
    <n v="800000"/>
    <n v="303489"/>
    <n v="45"/>
    <x v="2"/>
    <n v="2800000"/>
    <s v="Visita en zona"/>
    <x v="0"/>
    <s v="Femenino"/>
    <n v="26"/>
    <s v="Reestructuración de deuda"/>
    <s v="Pequeña empresa"/>
    <n v="303489"/>
    <n v="1"/>
    <s v="Bello"/>
    <s v="NO"/>
  </r>
  <r>
    <s v="CLI_0292"/>
    <x v="8"/>
    <s v="Valle del Cauca"/>
    <n v="343564"/>
    <n v="-76538954"/>
    <d v="2024-02-05T00:00:00"/>
    <x v="2"/>
    <n v="6000000"/>
    <n v="2567149"/>
    <n v="30"/>
    <x v="1"/>
    <n v="2000000"/>
    <s v="Referido"/>
    <x v="3"/>
    <s v="Masculino"/>
    <n v="64"/>
    <s v="Reestructuración de deuda"/>
    <s v="Pequeña empresa"/>
    <n v="0"/>
    <n v="0"/>
    <s v="Cali"/>
    <s v="SI"/>
  </r>
  <r>
    <s v="CLI_0293"/>
    <x v="9"/>
    <s v="Risaralda"/>
    <n v="4811528"/>
    <n v="-75683569"/>
    <d v="2023-11-27T00:00:00"/>
    <x v="3"/>
    <n v="1800000"/>
    <n v="457329"/>
    <n v="0"/>
    <x v="3"/>
    <n v="1600000"/>
    <s v="Digital"/>
    <x v="0"/>
    <s v="Masculino"/>
    <n v="38"/>
    <s v="Ampliación de cupo"/>
    <s v="Pequeña empresa"/>
    <n v="0"/>
    <n v="0"/>
    <s v="Bello"/>
    <s v="NO"/>
  </r>
  <r>
    <s v="CLI_0294"/>
    <x v="8"/>
    <s v="Valle del Cauca"/>
    <n v="344211"/>
    <n v="-76601866"/>
    <d v="2024-11-28T00:00:00"/>
    <x v="0"/>
    <n v="4000000"/>
    <n v="1468409"/>
    <n v="15"/>
    <x v="0"/>
    <n v="3500000"/>
    <s v="Aliado comercial"/>
    <x v="7"/>
    <s v="Masculino"/>
    <n v="61"/>
    <s v="Plan de alivio de pagos"/>
    <s v="Mediana empresa"/>
    <n v="0"/>
    <n v="0"/>
    <s v="Pereira"/>
    <s v="NO"/>
  </r>
  <r>
    <s v="CLI_0295"/>
    <x v="5"/>
    <s v="Antioquia"/>
    <n v="6326556"/>
    <n v="-75521736"/>
    <d v="2024-09-20T00:00:00"/>
    <x v="2"/>
    <n v="1800000"/>
    <n v="708997"/>
    <n v="5"/>
    <x v="4"/>
    <n v="2000000"/>
    <s v="Visita en zona"/>
    <x v="4"/>
    <s v="Femenino"/>
    <n v="62"/>
    <s v="Plan de alivio de pagos"/>
    <s v="Pequeña empresa"/>
    <n v="0"/>
    <n v="0"/>
    <s v="Bucaramanga"/>
    <s v="NO"/>
  </r>
  <r>
    <s v="CLI_0296"/>
    <x v="3"/>
    <s v="Atlántico"/>
    <n v="11020199"/>
    <n v="-74737293"/>
    <d v="2025-01-17T00:00:00"/>
    <x v="3"/>
    <n v="500000"/>
    <n v="369358"/>
    <n v="0"/>
    <x v="0"/>
    <n v="1600000"/>
    <s v="Digital"/>
    <x v="3"/>
    <s v="Masculino"/>
    <n v="50"/>
    <s v="Educación financiera + seguro"/>
    <s v="Pequeña empresa"/>
    <n v="0"/>
    <n v="0"/>
    <s v="Cali"/>
    <s v="NO"/>
  </r>
  <r>
    <s v="CLI_0297"/>
    <x v="2"/>
    <s v="Antioquia"/>
    <n v="6087413"/>
    <n v="-7538353"/>
    <d v="2025-02-16T00:00:00"/>
    <x v="2"/>
    <n v="2500000"/>
    <n v="1202209"/>
    <n v="30"/>
    <x v="4"/>
    <n v="2000000"/>
    <s v="Digital"/>
    <x v="3"/>
    <s v="Femenino"/>
    <n v="51"/>
    <s v="Reestructuración de deuda"/>
    <s v="Pequeña empresa"/>
    <n v="0"/>
    <n v="0"/>
    <s v="Cali"/>
    <s v="NO"/>
  </r>
  <r>
    <s v="CLI_0298"/>
    <x v="1"/>
    <s v="Antioquia"/>
    <n v="6253341"/>
    <n v="-75661173"/>
    <d v="2025-09-18T00:00:00"/>
    <x v="3"/>
    <n v="500000"/>
    <n v="386508"/>
    <n v="90"/>
    <x v="3"/>
    <n v="3500000"/>
    <s v="Feria empresarial"/>
    <x v="1"/>
    <s v="Femenino"/>
    <n v="25"/>
    <s v="Reestructuración de deuda"/>
    <s v="Mediana empresa"/>
    <n v="386508"/>
    <n v="1"/>
    <s v="Soacha"/>
    <s v="NO"/>
  </r>
  <r>
    <s v="CLI_0299"/>
    <x v="1"/>
    <s v="Antioquia"/>
    <n v="6294854"/>
    <n v="-75526109"/>
    <d v="2025-12-15T00:00:00"/>
    <x v="2"/>
    <n v="1200000"/>
    <n v="691354"/>
    <n v="5"/>
    <x v="4"/>
    <n v="2000000"/>
    <s v="Visita en zona"/>
    <x v="8"/>
    <s v="Masculino"/>
    <n v="26"/>
    <s v="Plan de alivio de pagos"/>
    <s v="Pequeña empresa"/>
    <n v="0"/>
    <n v="0"/>
    <s v="Medellín"/>
    <s v="SI"/>
  </r>
  <r>
    <s v="CLI_0300"/>
    <x v="0"/>
    <s v="Cundinamarca"/>
    <n v="4556122"/>
    <n v="-74195214"/>
    <d v="2023-01-06T00:00:00"/>
    <x v="1"/>
    <n v="6000000"/>
    <n v="2089116"/>
    <n v="0"/>
    <x v="1"/>
    <n v="3500000"/>
    <s v="Digital"/>
    <x v="0"/>
    <s v="Femenino"/>
    <n v="46"/>
    <s v="Ampliación de cupo"/>
    <s v="Mediana empresa"/>
    <n v="0"/>
    <n v="0"/>
    <s v="Bello"/>
    <s v="NO"/>
  </r>
  <r>
    <s v="CLI_0301"/>
    <x v="7"/>
    <s v="Cundinamarca"/>
    <n v="4728736"/>
    <n v="-74122093"/>
    <d v="2025-02-25T00:00:00"/>
    <x v="1"/>
    <n v="6000000"/>
    <n v="2603772"/>
    <n v="0"/>
    <x v="4"/>
    <n v="1300000"/>
    <s v="Aliado comercial"/>
    <x v="0"/>
    <s v="Femenino"/>
    <n v="21"/>
    <s v="Ampliación de cupo"/>
    <s v="Microempresa"/>
    <n v="0"/>
    <n v="0"/>
    <s v="Bello"/>
    <s v="NO"/>
  </r>
  <r>
    <s v="CLI_0302"/>
    <x v="3"/>
    <s v="Atlántico"/>
    <n v="10957082"/>
    <n v="-74782109"/>
    <d v="2023-09-14T00:00:00"/>
    <x v="1"/>
    <n v="2500000"/>
    <n v="536102"/>
    <n v="0"/>
    <x v="0"/>
    <n v="2800000"/>
    <s v="Visita en zona"/>
    <x v="7"/>
    <s v="Masculino"/>
    <n v="39"/>
    <s v="Ampliación de cupo"/>
    <s v="Pequeña empresa"/>
    <n v="0"/>
    <n v="0"/>
    <s v="Pereira"/>
    <s v="NO"/>
  </r>
  <r>
    <s v="CLI_0303"/>
    <x v="6"/>
    <s v="Antioquia"/>
    <n v="6208779"/>
    <n v="-75671659"/>
    <d v="2026-07-20T00:00:00"/>
    <x v="3"/>
    <n v="1800000"/>
    <n v="1186008"/>
    <n v="5"/>
    <x v="2"/>
    <n v="1600000"/>
    <s v="Digital"/>
    <x v="1"/>
    <s v="Femenino"/>
    <n v="64"/>
    <s v="Plan de alivio de pagos"/>
    <s v="Pequeña empresa"/>
    <n v="0"/>
    <n v="0"/>
    <s v="Soacha"/>
    <s v="NO"/>
  </r>
  <r>
    <s v="CLI_0304"/>
    <x v="7"/>
    <s v="Cundinamarca"/>
    <n v="4703455"/>
    <n v="-74130761"/>
    <d v="2025-12-18T00:00:00"/>
    <x v="0"/>
    <n v="1800000"/>
    <n v="1101862"/>
    <n v="45"/>
    <x v="0"/>
    <n v="2800000"/>
    <s v="Visita en zona"/>
    <x v="2"/>
    <s v="Masculino"/>
    <n v="45"/>
    <s v="Reestructuración de deuda"/>
    <s v="Pequeña empresa"/>
    <n v="1101862"/>
    <n v="1"/>
    <s v="Rionegro"/>
    <s v="NO"/>
  </r>
  <r>
    <s v="CLI_0305"/>
    <x v="2"/>
    <s v="Antioquia"/>
    <n v="6174667"/>
    <n v="-75408107"/>
    <d v="2024-09-18T00:00:00"/>
    <x v="0"/>
    <n v="1200000"/>
    <n v="1059616"/>
    <n v="0"/>
    <x v="4"/>
    <n v="3500000"/>
    <s v="Feria empresarial"/>
    <x v="4"/>
    <s v="Masculino"/>
    <n v="34"/>
    <s v="Educación financiera + seguro"/>
    <s v="Mediana empresa"/>
    <n v="0"/>
    <n v="0"/>
    <s v="Bucaramanga"/>
    <s v="NO"/>
  </r>
  <r>
    <s v="CLI_0306"/>
    <x v="3"/>
    <s v="Atlántico"/>
    <n v="10977149"/>
    <n v="-74725572"/>
    <d v="2025-07-26T00:00:00"/>
    <x v="2"/>
    <n v="4000000"/>
    <n v="1819425"/>
    <n v="15"/>
    <x v="0"/>
    <n v="2800000"/>
    <s v="Referido"/>
    <x v="8"/>
    <s v="Femenino"/>
    <n v="39"/>
    <s v="Plan de alivio de pagos"/>
    <s v="Pequeña empresa"/>
    <n v="0"/>
    <n v="0"/>
    <s v="Medellín"/>
    <s v="NO"/>
  </r>
  <r>
    <s v="CLI_0307"/>
    <x v="8"/>
    <s v="Valle del Cauca"/>
    <n v="3394852"/>
    <n v="-76504759"/>
    <d v="2025-03-27T00:00:00"/>
    <x v="2"/>
    <n v="800000"/>
    <n v="261545"/>
    <n v="30"/>
    <x v="2"/>
    <n v="1600000"/>
    <s v="Visita en zona"/>
    <x v="4"/>
    <s v="Femenino"/>
    <n v="44"/>
    <s v="Reestructuración de deuda"/>
    <s v="Pequeña empresa"/>
    <n v="0"/>
    <n v="0"/>
    <s v="Bucaramanga"/>
    <s v="NO"/>
  </r>
  <r>
    <s v="CLI_0308"/>
    <x v="1"/>
    <s v="Antioquia"/>
    <n v="6221589"/>
    <n v="-75588785"/>
    <d v="2026-04-17T00:00:00"/>
    <x v="0"/>
    <n v="2500000"/>
    <n v="2094575"/>
    <n v="15"/>
    <x v="4"/>
    <n v="1300000"/>
    <s v="Digital"/>
    <x v="3"/>
    <s v="Masculino"/>
    <n v="36"/>
    <s v="Plan de alivio de pagos"/>
    <s v="Microempresa"/>
    <n v="0"/>
    <n v="0"/>
    <s v="Cali"/>
    <s v="NO"/>
  </r>
  <r>
    <s v="CLI_0309"/>
    <x v="8"/>
    <s v="Valle del Cauca"/>
    <n v="3524672"/>
    <n v="-76455868"/>
    <d v="2025-04-20T00:00:00"/>
    <x v="1"/>
    <n v="1200000"/>
    <n v="1105150"/>
    <n v="0"/>
    <x v="1"/>
    <n v="3500000"/>
    <s v="Feria empresarial"/>
    <x v="7"/>
    <s v="Masculino"/>
    <n v="42"/>
    <s v="Educación financiera + seguro"/>
    <s v="Mediana empresa"/>
    <n v="0"/>
    <n v="0"/>
    <s v="Pereira"/>
    <s v="NO"/>
  </r>
  <r>
    <s v="CLI_0310"/>
    <x v="4"/>
    <s v="Santander"/>
    <n v="7157452"/>
    <n v="-73171265"/>
    <d v="2023-03-06T00:00:00"/>
    <x v="2"/>
    <n v="4000000"/>
    <n v="3678585"/>
    <n v="0"/>
    <x v="3"/>
    <n v="1300000"/>
    <s v="Referido"/>
    <x v="3"/>
    <s v="Femenino"/>
    <n v="62"/>
    <s v="Educación financiera + seguro"/>
    <s v="Microempresa"/>
    <n v="0"/>
    <n v="0"/>
    <s v="Cali"/>
    <s v="NO"/>
  </r>
  <r>
    <s v="CLI_0311"/>
    <x v="7"/>
    <s v="Cundinamarca"/>
    <n v="4720056"/>
    <n v="-74131289"/>
    <d v="2024-01-05T00:00:00"/>
    <x v="0"/>
    <n v="2500000"/>
    <n v="2047780"/>
    <n v="0"/>
    <x v="0"/>
    <n v="2000000"/>
    <s v="Referido"/>
    <x v="7"/>
    <s v="Masculino"/>
    <n v="47"/>
    <s v="Educación financiera + seguro"/>
    <s v="Pequeña empresa"/>
    <n v="0"/>
    <n v="0"/>
    <s v="Pereira"/>
    <s v="NO"/>
  </r>
  <r>
    <s v="CLI_0312"/>
    <x v="7"/>
    <s v="Cundinamarca"/>
    <n v="4709488"/>
    <n v="-74060472"/>
    <d v="2024-03-17T00:00:00"/>
    <x v="2"/>
    <n v="1200000"/>
    <n v="194338"/>
    <n v="15"/>
    <x v="0"/>
    <n v="2800000"/>
    <s v="Visita en zona"/>
    <x v="3"/>
    <s v="Femenino"/>
    <n v="58"/>
    <s v="Plan de alivio de pagos"/>
    <s v="Pequeña empresa"/>
    <n v="0"/>
    <n v="0"/>
    <s v="Cali"/>
    <s v="NO"/>
  </r>
  <r>
    <s v="CLI_0313"/>
    <x v="4"/>
    <s v="Santander"/>
    <n v="7125226"/>
    <n v="-73187989"/>
    <d v="2025-05-07T00:00:00"/>
    <x v="1"/>
    <n v="800000"/>
    <n v="680710"/>
    <n v="5"/>
    <x v="0"/>
    <n v="1600000"/>
    <s v="Referido"/>
    <x v="0"/>
    <s v="Femenino"/>
    <n v="35"/>
    <s v="Plan de alivio de pagos"/>
    <s v="Pequeña empresa"/>
    <n v="0"/>
    <n v="0"/>
    <s v="Bello"/>
    <s v="NO"/>
  </r>
  <r>
    <s v="CLI_0314"/>
    <x v="0"/>
    <s v="Cundinamarca"/>
    <n v="4570607"/>
    <n v="-74151881"/>
    <d v="2025-07-26T00:00:00"/>
    <x v="2"/>
    <n v="2500000"/>
    <n v="2202041"/>
    <n v="0"/>
    <x v="3"/>
    <n v="900000"/>
    <s v="Feria empresarial"/>
    <x v="4"/>
    <s v="Masculino"/>
    <n v="37"/>
    <s v="Educación financiera + seguro"/>
    <s v="Microempresa"/>
    <n v="0"/>
    <n v="0"/>
    <s v="Bucaramanga"/>
    <s v="NO"/>
  </r>
  <r>
    <s v="CLI_0315"/>
    <x v="7"/>
    <s v="Cundinamarca"/>
    <n v="4634953"/>
    <n v="-74069401"/>
    <d v="2026-01-10T00:00:00"/>
    <x v="3"/>
    <n v="6000000"/>
    <n v="2512286"/>
    <n v="30"/>
    <x v="2"/>
    <n v="2000000"/>
    <s v="Aliado comercial"/>
    <x v="0"/>
    <s v="Masculino"/>
    <n v="24"/>
    <s v="Reestructuración de deuda"/>
    <s v="Pequeña empresa"/>
    <n v="0"/>
    <n v="0"/>
    <s v="Bello"/>
    <s v="NO"/>
  </r>
  <r>
    <s v="CLI_0316"/>
    <x v="5"/>
    <s v="Antioquia"/>
    <n v="6284083"/>
    <n v="-75484996"/>
    <d v="2024-11-14T00:00:00"/>
    <x v="2"/>
    <n v="2500000"/>
    <n v="1383062"/>
    <n v="5"/>
    <x v="1"/>
    <n v="1300000"/>
    <s v="Aliado comercial"/>
    <x v="3"/>
    <s v="Femenino"/>
    <n v="55"/>
    <s v="Plan de alivio de pagos"/>
    <s v="Microempresa"/>
    <n v="0"/>
    <n v="0"/>
    <s v="Cali"/>
    <s v="NO"/>
  </r>
  <r>
    <s v="CLI_0317"/>
    <x v="5"/>
    <s v="Antioquia"/>
    <n v="6376803"/>
    <n v="-75613399"/>
    <d v="2023-03-26T00:00:00"/>
    <x v="0"/>
    <n v="1800000"/>
    <n v="1276808"/>
    <n v="0"/>
    <x v="0"/>
    <n v="900000"/>
    <s v="Referido"/>
    <x v="7"/>
    <s v="Femenino"/>
    <n v="32"/>
    <s v="Educación financiera + seguro"/>
    <s v="Microempresa"/>
    <n v="0"/>
    <n v="0"/>
    <s v="Pereira"/>
    <s v="NO"/>
  </r>
  <r>
    <s v="CLI_0318"/>
    <x v="2"/>
    <s v="Antioquia"/>
    <n v="6220558"/>
    <n v="-75389379"/>
    <d v="2026-11-04T00:00:00"/>
    <x v="2"/>
    <n v="1800000"/>
    <n v="1144232"/>
    <n v="0"/>
    <x v="0"/>
    <n v="900000"/>
    <s v="Referido"/>
    <x v="7"/>
    <s v="Masculino"/>
    <n v="48"/>
    <s v="Educación financiera + seguro"/>
    <s v="Microempresa"/>
    <n v="0"/>
    <n v="0"/>
    <s v="Pereira"/>
    <s v="NO"/>
  </r>
  <r>
    <s v="CLI_0319"/>
    <x v="1"/>
    <s v="Antioquia"/>
    <n v="6276341"/>
    <n v="-75649586"/>
    <d v="2023-05-25T00:00:00"/>
    <x v="1"/>
    <n v="2500000"/>
    <n v="475538"/>
    <n v="30"/>
    <x v="3"/>
    <n v="1600000"/>
    <s v="Digital"/>
    <x v="8"/>
    <s v="Masculino"/>
    <n v="39"/>
    <s v="Reestructuración de deuda"/>
    <s v="Pequeña empresa"/>
    <n v="0"/>
    <n v="0"/>
    <s v="Medellín"/>
    <s v="SI"/>
  </r>
  <r>
    <s v="CLI_0320"/>
    <x v="3"/>
    <s v="Atlántico"/>
    <n v="10908912"/>
    <n v="-74841221"/>
    <d v="2025-11-05T00:00:00"/>
    <x v="0"/>
    <n v="4000000"/>
    <n v="1729375"/>
    <n v="30"/>
    <x v="2"/>
    <n v="2800000"/>
    <s v="Referido"/>
    <x v="4"/>
    <s v="Masculino"/>
    <n v="48"/>
    <s v="Reestructuración de deuda"/>
    <s v="Pequeña empresa"/>
    <n v="0"/>
    <n v="0"/>
    <s v="Bucaramanga"/>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14A39-7674-4FC6-ABEB-7F7B9C6556DB}"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location ref="A35:C46" firstHeaderRow="0" firstDataRow="1" firstDataCol="1"/>
  <pivotFields count="22">
    <pivotField showAll="0"/>
    <pivotField showAll="0" sortType="descending">
      <items count="11">
        <item x="3"/>
        <item x="5"/>
        <item x="7"/>
        <item x="4"/>
        <item x="8"/>
        <item x="6"/>
        <item x="1"/>
        <item x="9"/>
        <item x="2"/>
        <item x="0"/>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numFmtId="14" showAll="0"/>
    <pivotField showAll="0"/>
    <pivotField showAll="0"/>
    <pivotField showAll="0"/>
    <pivotField showAll="0"/>
    <pivotField showAll="0"/>
    <pivotField showAll="0"/>
    <pivotField showAll="0"/>
    <pivotField axis="axisRow" showAll="0" sortType="descending">
      <items count="11">
        <item x="8"/>
        <item x="0"/>
        <item x="6"/>
        <item x="2"/>
        <item x="9"/>
        <item x="1"/>
        <item x="3"/>
        <item x="5"/>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13"/>
  </rowFields>
  <rowItems count="11">
    <i>
      <x v="3"/>
    </i>
    <i>
      <x v="4"/>
    </i>
    <i>
      <x v="7"/>
    </i>
    <i>
      <x/>
    </i>
    <i>
      <x v="8"/>
    </i>
    <i>
      <x v="1"/>
    </i>
    <i>
      <x v="5"/>
    </i>
    <i>
      <x v="9"/>
    </i>
    <i>
      <x v="6"/>
    </i>
    <i>
      <x v="2"/>
    </i>
    <i t="grand">
      <x/>
    </i>
  </rowItems>
  <colFields count="1">
    <field x="-2"/>
  </colFields>
  <colItems count="2">
    <i>
      <x/>
    </i>
    <i i="1">
      <x v="1"/>
    </i>
  </colItems>
  <dataFields count="2">
    <dataField name="Suma de saldo_mora_30" fld="18" baseField="0" baseItem="0" numFmtId="164"/>
    <dataField name="Suma de saldo_mora_30_2" fld="18" showDataAs="percentOfTotal" baseField="13" baseItem="0" numFmtId="10"/>
  </dataFields>
  <formats count="17">
    <format dxfId="34">
      <pivotArea outline="0" collapsedLevelsAreSubtotals="1" fieldPosition="0">
        <references count="1">
          <reference field="4294967294" count="1" selected="0">
            <x v="0"/>
          </reference>
        </references>
      </pivotArea>
    </format>
    <format dxfId="33">
      <pivotArea type="all" dataOnly="0" outline="0" fieldPosition="0"/>
    </format>
    <format dxfId="32">
      <pivotArea outline="0" collapsedLevelsAreSubtotals="1" fieldPosition="0"/>
    </format>
    <format dxfId="31">
      <pivotArea field="1" type="button" dataOnly="0" labelOnly="1" outline="0"/>
    </format>
    <format dxfId="30">
      <pivotArea dataOnly="0" labelOnly="1" grandRow="1" outline="0" fieldPosition="0"/>
    </format>
    <format dxfId="29">
      <pivotArea dataOnly="0" labelOnly="1" outline="0" fieldPosition="0">
        <references count="1">
          <reference field="4294967294" count="1">
            <x v="0"/>
          </reference>
        </references>
      </pivotArea>
    </format>
    <format dxfId="28">
      <pivotArea type="all" dataOnly="0" outline="0" fieldPosition="0"/>
    </format>
    <format dxfId="27">
      <pivotArea outline="0" collapsedLevelsAreSubtotals="1" fieldPosition="0"/>
    </format>
    <format dxfId="26">
      <pivotArea field="13" type="button" dataOnly="0" labelOnly="1" outline="0" axis="axisRow" fieldPosition="0"/>
    </format>
    <format dxfId="25">
      <pivotArea dataOnly="0" labelOnly="1" fieldPosition="0">
        <references count="1">
          <reference field="13" count="0"/>
        </references>
      </pivotArea>
    </format>
    <format dxfId="24">
      <pivotArea dataOnly="0" labelOnly="1" grandRow="1" outline="0" fieldPosition="0"/>
    </format>
    <format dxfId="23">
      <pivotArea dataOnly="0" labelOnly="1" outline="0" axis="axisValues" fieldPosition="0"/>
    </format>
    <format dxfId="22">
      <pivotArea outline="0" fieldPosition="0">
        <references count="1">
          <reference field="4294967294" count="1">
            <x v="1"/>
          </reference>
        </references>
      </pivotArea>
    </format>
    <format dxfId="21">
      <pivotArea collapsedLevelsAreSubtotals="1" fieldPosition="0">
        <references count="2">
          <reference field="4294967294" count="1" selected="0">
            <x v="1"/>
          </reference>
          <reference field="13" count="2">
            <x v="3"/>
            <x v="4"/>
          </reference>
        </references>
      </pivotArea>
    </format>
    <format dxfId="20">
      <pivotArea collapsedLevelsAreSubtotals="1" fieldPosition="0">
        <references count="2">
          <reference field="4294967294" count="1" selected="0">
            <x v="1"/>
          </reference>
          <reference field="13" count="2">
            <x v="3"/>
            <x v="4"/>
          </reference>
        </references>
      </pivotArea>
    </format>
    <format dxfId="19">
      <pivotArea collapsedLevelsAreSubtotals="1" fieldPosition="0">
        <references count="2">
          <reference field="4294967294" count="1" selected="0">
            <x v="1"/>
          </reference>
          <reference field="13" count="1">
            <x v="2"/>
          </reference>
        </references>
      </pivotArea>
    </format>
    <format dxfId="18">
      <pivotArea collapsedLevelsAreSubtotals="1" fieldPosition="0">
        <references count="2">
          <reference field="4294967294" count="1" selected="0">
            <x v="1"/>
          </reference>
          <reference field="13" count="1">
            <x v="6"/>
          </reference>
        </references>
      </pivotArea>
    </format>
  </formats>
  <chartFormats count="3">
    <chartFormat chart="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BDBD47-E2F4-45AC-A691-D1223F3C1D09}"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3:D14" firstHeaderRow="0" firstDataRow="1" firstDataCol="1"/>
  <pivotFields count="22">
    <pivotField showAll="0"/>
    <pivotField axis="axisRow" showAll="0" sortType="descending">
      <items count="11">
        <item x="3"/>
        <item x="5"/>
        <item x="7"/>
        <item x="4"/>
        <item x="8"/>
        <item x="6"/>
        <item x="1"/>
        <item x="9"/>
        <item x="2"/>
        <item x="0"/>
        <item t="default"/>
      </items>
      <autoSortScope>
        <pivotArea dataOnly="0" outline="0" fieldPosition="0">
          <references count="1">
            <reference field="4294967294" count="1" selected="0">
              <x v="1"/>
            </reference>
          </references>
        </pivotArea>
      </autoSortScope>
    </pivotField>
    <pivotField showAll="0"/>
    <pivotField numFmtId="3" showAll="0"/>
    <pivotField numFmtId="3"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11">
    <i>
      <x v="4"/>
    </i>
    <i>
      <x v="1"/>
    </i>
    <i>
      <x v="5"/>
    </i>
    <i>
      <x v="2"/>
    </i>
    <i>
      <x v="3"/>
    </i>
    <i>
      <x v="9"/>
    </i>
    <i>
      <x v="6"/>
    </i>
    <i>
      <x/>
    </i>
    <i>
      <x v="8"/>
    </i>
    <i>
      <x v="7"/>
    </i>
    <i t="grand">
      <x/>
    </i>
  </rowItems>
  <colFields count="1">
    <field x="-2"/>
  </colFields>
  <colItems count="3">
    <i>
      <x/>
    </i>
    <i i="1">
      <x v="1"/>
    </i>
    <i i="2">
      <x v="2"/>
    </i>
  </colItems>
  <dataFields count="3">
    <dataField name="Suma de saldo_cartera" fld="8" baseField="0" baseItem="0" numFmtId="164"/>
    <dataField name="Suma de saldo_mora_30" fld="18" baseField="0" baseItem="0" numFmtId="164"/>
    <dataField name="Suma de saldo_mora_30_2" fld="18" showDataAs="percentOfTotal" baseField="1" baseItem="5" numFmtId="10"/>
  </dataFields>
  <formats count="15">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 dxfId="47">
      <pivotArea outline="0" fieldPosition="0">
        <references count="1">
          <reference field="4294967294" count="1">
            <x v="2"/>
          </reference>
        </references>
      </pivotArea>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fieldPosition="0">
        <references count="1">
          <reference field="4294967294" count="3">
            <x v="0"/>
            <x v="1"/>
            <x v="2"/>
          </reference>
        </references>
      </pivotArea>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7EE158-D955-4066-B800-7E430ECB5BE3}"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G9" firstHeaderRow="1" firstDataRow="2" firstDataCol="1"/>
  <pivotFields count="22">
    <pivotField showAll="0"/>
    <pivotField showAll="0"/>
    <pivotField showAll="0"/>
    <pivotField numFmtId="3" showAll="0"/>
    <pivotField numFmtId="3" showAll="0"/>
    <pivotField numFmtId="14"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axis="axisCol"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v="2"/>
    </i>
    <i>
      <x v="1"/>
    </i>
    <i>
      <x/>
    </i>
    <i>
      <x v="3"/>
    </i>
    <i t="grand">
      <x/>
    </i>
  </rowItems>
  <colFields count="1">
    <field x="10"/>
  </colFields>
  <colItems count="6">
    <i>
      <x/>
    </i>
    <i>
      <x v="1"/>
    </i>
    <i>
      <x v="2"/>
    </i>
    <i>
      <x v="3"/>
    </i>
    <i>
      <x v="4"/>
    </i>
    <i t="grand">
      <x/>
    </i>
  </colItems>
  <dataFields count="1">
    <dataField name="Suma de saldo_cartera" fld="8" baseField="0" baseItem="0" numFmtId="164"/>
  </dataFields>
  <formats count="11">
    <format dxfId="10">
      <pivotArea outline="0" collapsedLevelsAreSubtotals="1"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0" type="button" dataOnly="0" labelOnly="1" outline="0" axis="axisCol" fieldPosition="0"/>
    </format>
    <format dxfId="5">
      <pivotArea type="topRight" dataOnly="0" labelOnly="1" outline="0"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fieldPosition="0">
        <references count="1">
          <reference field="10" count="0"/>
        </references>
      </pivotArea>
    </format>
    <format dxfId="0">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6" count="4">
              <x v="0"/>
              <x v="1"/>
              <x v="2"/>
              <x v="3"/>
            </reference>
            <reference field="10" count="5" selected="0">
              <x v="0"/>
              <x v="1"/>
              <x v="2"/>
              <x v="3"/>
              <x v="4"/>
            </reference>
          </references>
        </pivotArea>
      </pivotAreas>
    </conditionalFormat>
  </conditionalFormat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1" format="5" series="1">
      <pivotArea type="data" outline="0" fieldPosition="0">
        <references count="2">
          <reference field="4294967294" count="1" selected="0">
            <x v="0"/>
          </reference>
          <reference field="10" count="1" selected="0">
            <x v="0"/>
          </reference>
        </references>
      </pivotArea>
    </chartFormat>
    <chartFormat chart="1" format="6" series="1">
      <pivotArea type="data" outline="0" fieldPosition="0">
        <references count="2">
          <reference field="4294967294" count="1" selected="0">
            <x v="0"/>
          </reference>
          <reference field="10" count="1" selected="0">
            <x v="1"/>
          </reference>
        </references>
      </pivotArea>
    </chartFormat>
    <chartFormat chart="1" format="7" series="1">
      <pivotArea type="data" outline="0" fieldPosition="0">
        <references count="2">
          <reference field="4294967294" count="1" selected="0">
            <x v="0"/>
          </reference>
          <reference field="10" count="1" selected="0">
            <x v="2"/>
          </reference>
        </references>
      </pivotArea>
    </chartFormat>
    <chartFormat chart="1" format="8" series="1">
      <pivotArea type="data" outline="0" fieldPosition="0">
        <references count="2">
          <reference field="4294967294" count="1" selected="0">
            <x v="0"/>
          </reference>
          <reference field="10" count="1" selected="0">
            <x v="3"/>
          </reference>
        </references>
      </pivotArea>
    </chartFormat>
    <chartFormat chart="1" format="9" series="1">
      <pivotArea type="data" outline="0" fieldPosition="0">
        <references count="2">
          <reference field="4294967294" count="1" selected="0">
            <x v="0"/>
          </reference>
          <reference field="10"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25DA9-FBE0-4077-B1CA-8E491159210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22:C27" firstHeaderRow="0" firstDataRow="1" firstDataCol="1"/>
  <pivotFields count="22">
    <pivotField showAll="0"/>
    <pivotField showAll="0"/>
    <pivotField showAll="0"/>
    <pivotField numFmtId="3" showAll="0"/>
    <pivotField numFmtId="3" showAll="0"/>
    <pivotField numFmtId="14" showAll="0"/>
    <pivotField axis="axisRow" showAll="0" sortType="descending">
      <items count="5">
        <item x="3"/>
        <item x="0"/>
        <item x="1"/>
        <item x="2"/>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items count="6">
        <item x="3"/>
        <item x="0"/>
        <item x="4"/>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5">
    <i>
      <x v="3"/>
    </i>
    <i>
      <x v="2"/>
    </i>
    <i>
      <x/>
    </i>
    <i>
      <x v="1"/>
    </i>
    <i t="grand">
      <x/>
    </i>
  </rowItems>
  <colFields count="1">
    <field x="-2"/>
  </colFields>
  <colItems count="2">
    <i>
      <x/>
    </i>
    <i i="1">
      <x v="1"/>
    </i>
  </colItems>
  <dataFields count="2">
    <dataField name="Suma de saldo_cartera" fld="8" baseField="0" baseItem="0" numFmtId="164"/>
    <dataField name="Suma de saldo_mora_30" fld="18" baseField="0" baseItem="0"/>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065584-2F92-4D61-A9B0-42F3440146A6}" name="Tabla16" displayName="Tabla16" ref="A1:G11" totalsRowShown="0">
  <autoFilter ref="A1:G11" xr:uid="{D0808CA2-24E3-4EA7-98C4-BAE2B551DB03}"/>
  <tableColumns count="7">
    <tableColumn id="1" xr3:uid="{344ABCED-A21F-4069-A476-CDD7A3223580}" name="asesor_id"/>
    <tableColumn id="2" xr3:uid="{F412AC69-9C7C-4D99-B4E3-A7B264249D84}" name="nombre_generico"/>
    <tableColumn id="3" xr3:uid="{F45755AD-55BD-4A34-8C34-6AED1031695A}" name="ciudad_base"/>
    <tableColumn id="4" xr3:uid="{6844D9EB-427F-49BF-9005-9E8C8B50D251}" name="departamento"/>
    <tableColumn id="5" xr3:uid="{9186D759-539E-45D5-B71A-E073E1A8D596}" name="latitud_base"/>
    <tableColumn id="6" xr3:uid="{B2186662-0908-4660-B732-1E78E904D397}" name="longitud_base"/>
    <tableColumn id="7" xr3:uid="{CF1E0595-6B72-4CE1-AB72-3C3D4A6D89C4}" name="capacidad_maxima_clien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ACC48-0C94-44F5-967C-644B033899C0}" name="Tabla1" displayName="Tabla1" ref="A1:V321" totalsRowShown="0">
  <autoFilter ref="A1:V321" xr:uid="{44EB0028-16B9-4481-82E3-8DD10B539C66}"/>
  <tableColumns count="22">
    <tableColumn id="1" xr3:uid="{39C3627C-2C23-45CE-9F9F-80035659EEEB}" name="cliente_id"/>
    <tableColumn id="2" xr3:uid="{A1611E12-5231-4AA9-B673-F17552EFD49B}" name="ciudad"/>
    <tableColumn id="3" xr3:uid="{34EBCC63-8BA8-4CDB-9C0D-88558AE6E54B}" name="departamento"/>
    <tableColumn id="4" xr3:uid="{293140FF-E6FC-4CD6-8B44-D560CF266140}" name="latitud" dataDxfId="58"/>
    <tableColumn id="5" xr3:uid="{75374D28-6AAF-45A4-8A4E-00600C989331}" name="longitud" dataDxfId="57"/>
    <tableColumn id="6" xr3:uid="{6790A139-DF93-4A65-9371-36275A76B3D8}" name="fecha_desembolso" dataDxfId="56"/>
    <tableColumn id="7" xr3:uid="{5B409F36-0B80-4A35-A3AC-9E515B3C3D28}" name="producto_credito"/>
    <tableColumn id="8" xr3:uid="{AEDF28E7-33AF-4E0E-BE29-4619E0EDA235}" name="monto_desembolsado"/>
    <tableColumn id="9" xr3:uid="{724DFF6A-9846-4097-A3D7-DCD0B1C8E49B}" name="saldo_cartera"/>
    <tableColumn id="10" xr3:uid="{53F16DFD-79E5-433F-AEBA-6870B8642F86}" name="dias_mora"/>
    <tableColumn id="11" xr3:uid="{94E6982C-477D-4F21-9D7E-68242B9E1DFF}" name="sector_economico"/>
    <tableColumn id="12" xr3:uid="{F830F242-432B-4B42-BCCD-7B297D0ED92E}" name="ingresos_mensuales_estimados"/>
    <tableColumn id="13" xr3:uid="{9EED8968-E227-4E3E-B166-B62EB57EE8BF}" name="canal_adquisicion"/>
    <tableColumn id="14" xr3:uid="{3B49F6E0-4D68-4CA7-8812-C7670E00C947}" name="asesor_id_actual"/>
    <tableColumn id="15" xr3:uid="{F91813E5-C71E-4A7B-A617-E14E97A511CB}" name="sexo" dataDxfId="55"/>
    <tableColumn id="16" xr3:uid="{EF3280AE-862D-4D82-88C6-BE472D5BE6A0}" name="edad" dataDxfId="54"/>
    <tableColumn id="17" xr3:uid="{4A24256D-0EE1-4CAF-9AF8-31FBCDE6F23F}" name="oferta_comercial"/>
    <tableColumn id="18" xr3:uid="{9ED05B01-B685-4AB2-B55D-45C30C2A4EEC}" name="tamano_negocio"/>
    <tableColumn id="19" xr3:uid="{2B870E9E-A64C-449A-8C48-2C39A2EC4F52}" name="saldo_mora_30" dataDxfId="53">
      <calculatedColumnFormula>IF(Tabla1[[#This Row],[dias_mora]]&gt;30,Tabla1[[#This Row],[saldo_cartera]],0)</calculatedColumnFormula>
    </tableColumn>
    <tableColumn id="20" xr3:uid="{97E2CAD3-5FB1-440C-8993-0783F044A26B}" name="tasa_mora_ciudad" dataDxfId="52">
      <calculatedColumnFormula>Tabla1[[#This Row],[saldo_mora_30]]/Tabla1[[#This Row],[saldo_cartera]]</calculatedColumnFormula>
    </tableColumn>
    <tableColumn id="21" xr3:uid="{3733EF93-DE75-4631-B6E2-4F343347FAAB}" name="Ciudad_asesor" dataDxfId="51">
      <calculatedColumnFormula>VLOOKUP(N2,asesores_ficticio!$A:$C,3,FALSE)</calculatedColumnFormula>
    </tableColumn>
    <tableColumn id="22" xr3:uid="{E7C2BE77-B6F1-45B1-9924-311D87B34CC4}" name="MISMO_CIUDAD" dataDxfId="50">
      <calculatedColumnFormula>IF(B2=U2,"SI","NO")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9DBFB88-CA92-4343-B523-30B9CC73969C}">
  <we:reference id="WA200009404" version="1.0.0.8" store="Omex" storeType="OMEX"/>
  <we:alternateReferences>
    <we:reference id="WA200009404" version="1.0.0.8" store="WA200009404" storeType="OMEX"/>
  </we:alternateReferences>
  <we:properties>
    <we:property name="claude.fileId" value="&quot;d89a52da-97b7-493d-b942-8bb4fd0234b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4E54-BD42-4088-AB1A-0BEBBD439ABC}">
  <dimension ref="A1:G11"/>
  <sheetViews>
    <sheetView workbookViewId="0">
      <selection activeCell="G2" sqref="G2:G11"/>
    </sheetView>
  </sheetViews>
  <sheetFormatPr baseColWidth="10" defaultRowHeight="14.4" x14ac:dyDescent="0.3"/>
  <cols>
    <col min="2" max="2" width="22" customWidth="1"/>
    <col min="3" max="3" width="17.109375" customWidth="1"/>
    <col min="4" max="4" width="15.33203125" customWidth="1"/>
    <col min="5" max="5" width="13.6640625" customWidth="1"/>
    <col min="6" max="6" width="15.109375" customWidth="1"/>
    <col min="7" max="7" width="27.21875" customWidth="1"/>
  </cols>
  <sheetData>
    <row r="1" spans="1:7" x14ac:dyDescent="0.3">
      <c r="A1" t="s">
        <v>399</v>
      </c>
      <c r="B1" t="s">
        <v>400</v>
      </c>
      <c r="C1" t="s">
        <v>401</v>
      </c>
      <c r="D1" t="s">
        <v>2</v>
      </c>
      <c r="E1" t="s">
        <v>402</v>
      </c>
      <c r="F1" t="s">
        <v>403</v>
      </c>
      <c r="G1" t="s">
        <v>404</v>
      </c>
    </row>
    <row r="2" spans="1:7" x14ac:dyDescent="0.3">
      <c r="A2" t="s">
        <v>61</v>
      </c>
      <c r="B2" t="s">
        <v>405</v>
      </c>
      <c r="C2" t="s">
        <v>379</v>
      </c>
      <c r="D2" t="s">
        <v>21</v>
      </c>
      <c r="E2">
        <v>6.2525659999999998</v>
      </c>
      <c r="F2">
        <v>-75.609699000000006</v>
      </c>
      <c r="G2">
        <v>35</v>
      </c>
    </row>
    <row r="3" spans="1:7" x14ac:dyDescent="0.3">
      <c r="A3" t="s">
        <v>19</v>
      </c>
      <c r="B3" t="s">
        <v>406</v>
      </c>
      <c r="C3" t="s">
        <v>46</v>
      </c>
      <c r="D3" t="s">
        <v>21</v>
      </c>
      <c r="E3">
        <v>6.3219940000000001</v>
      </c>
      <c r="F3">
        <v>-75.579628</v>
      </c>
      <c r="G3">
        <v>25</v>
      </c>
    </row>
    <row r="4" spans="1:7" x14ac:dyDescent="0.3">
      <c r="A4" t="s">
        <v>42</v>
      </c>
      <c r="B4" t="s">
        <v>407</v>
      </c>
      <c r="C4" t="s">
        <v>380</v>
      </c>
      <c r="D4" t="s">
        <v>21</v>
      </c>
      <c r="E4">
        <v>6.1825020000000004</v>
      </c>
      <c r="F4">
        <v>-75.588668999999996</v>
      </c>
      <c r="G4">
        <v>25</v>
      </c>
    </row>
    <row r="5" spans="1:7" x14ac:dyDescent="0.3">
      <c r="A5" t="s">
        <v>29</v>
      </c>
      <c r="B5" t="s">
        <v>408</v>
      </c>
      <c r="C5" t="s">
        <v>26</v>
      </c>
      <c r="D5" t="s">
        <v>21</v>
      </c>
      <c r="E5">
        <v>6.1602300000000003</v>
      </c>
      <c r="F5">
        <v>-75.402692999999999</v>
      </c>
      <c r="G5">
        <v>25</v>
      </c>
    </row>
    <row r="6" spans="1:7" x14ac:dyDescent="0.3">
      <c r="A6" t="s">
        <v>63</v>
      </c>
      <c r="B6" t="s">
        <v>409</v>
      </c>
      <c r="C6" t="s">
        <v>381</v>
      </c>
      <c r="D6" t="s">
        <v>16</v>
      </c>
      <c r="E6">
        <v>4.6941179999999996</v>
      </c>
      <c r="F6">
        <v>-74.071779000000006</v>
      </c>
      <c r="G6">
        <v>25</v>
      </c>
    </row>
    <row r="7" spans="1:7" x14ac:dyDescent="0.3">
      <c r="A7" t="s">
        <v>24</v>
      </c>
      <c r="B7" t="s">
        <v>410</v>
      </c>
      <c r="C7" t="s">
        <v>15</v>
      </c>
      <c r="D7" t="s">
        <v>16</v>
      </c>
      <c r="E7">
        <v>4.5829750000000002</v>
      </c>
      <c r="F7">
        <v>-74.203638999999995</v>
      </c>
      <c r="G7">
        <v>40</v>
      </c>
    </row>
    <row r="8" spans="1:7" x14ac:dyDescent="0.3">
      <c r="A8" t="s">
        <v>32</v>
      </c>
      <c r="B8" t="s">
        <v>411</v>
      </c>
      <c r="C8" t="s">
        <v>70</v>
      </c>
      <c r="D8" t="s">
        <v>71</v>
      </c>
      <c r="E8">
        <v>3.4348260000000002</v>
      </c>
      <c r="F8">
        <v>-76.526644000000005</v>
      </c>
      <c r="G8">
        <v>25</v>
      </c>
    </row>
    <row r="9" spans="1:7" x14ac:dyDescent="0.3">
      <c r="A9" t="s">
        <v>38</v>
      </c>
      <c r="B9" t="s">
        <v>412</v>
      </c>
      <c r="C9" t="s">
        <v>34</v>
      </c>
      <c r="D9" t="s">
        <v>413</v>
      </c>
      <c r="E9">
        <v>10.979428</v>
      </c>
      <c r="F9">
        <v>-74.816820000000007</v>
      </c>
      <c r="G9">
        <v>40</v>
      </c>
    </row>
    <row r="10" spans="1:7" x14ac:dyDescent="0.3">
      <c r="A10" t="s">
        <v>35</v>
      </c>
      <c r="B10" t="s">
        <v>414</v>
      </c>
      <c r="C10" t="s">
        <v>40</v>
      </c>
      <c r="D10" t="s">
        <v>41</v>
      </c>
      <c r="E10">
        <v>7.1097149999999996</v>
      </c>
      <c r="F10">
        <v>-73.143371000000002</v>
      </c>
      <c r="G10">
        <v>35</v>
      </c>
    </row>
    <row r="11" spans="1:7" x14ac:dyDescent="0.3">
      <c r="A11" t="s">
        <v>57</v>
      </c>
      <c r="B11" t="s">
        <v>415</v>
      </c>
      <c r="C11" t="s">
        <v>76</v>
      </c>
      <c r="D11" t="s">
        <v>77</v>
      </c>
      <c r="E11">
        <v>4.7904330000000002</v>
      </c>
      <c r="F11">
        <v>-75.701803999999996</v>
      </c>
      <c r="G11">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0028-16B9-4481-82E3-8DD10B539C66}">
  <dimension ref="A1:Z321"/>
  <sheetViews>
    <sheetView workbookViewId="0">
      <selection activeCell="N25" sqref="N25"/>
    </sheetView>
  </sheetViews>
  <sheetFormatPr baseColWidth="10" defaultRowHeight="14.4" x14ac:dyDescent="0.3"/>
  <cols>
    <col min="1" max="1" width="21.6640625" customWidth="1"/>
    <col min="2" max="2" width="18" customWidth="1"/>
    <col min="3" max="3" width="17.6640625" customWidth="1"/>
    <col min="4" max="4" width="19.88671875" customWidth="1"/>
    <col min="6" max="6" width="19.44140625" customWidth="1"/>
    <col min="7" max="7" width="17.88671875" customWidth="1"/>
    <col min="8" max="8" width="22.33203125" customWidth="1"/>
    <col min="9" max="9" width="14.5546875" customWidth="1"/>
    <col min="10" max="10" width="11.77734375" customWidth="1"/>
    <col min="11" max="11" width="19" customWidth="1"/>
    <col min="12" max="12" width="30.88671875" customWidth="1"/>
    <col min="13" max="13" width="18.44140625" customWidth="1"/>
    <col min="14" max="14" width="17.33203125" customWidth="1"/>
    <col min="15" max="15" width="9.109375" bestFit="1" customWidth="1"/>
    <col min="16" max="16" width="8.6640625" customWidth="1"/>
    <col min="17" max="17" width="25.109375" bestFit="1" customWidth="1"/>
    <col min="18" max="18" width="17.21875" customWidth="1"/>
    <col min="19" max="19" width="18.77734375" customWidth="1"/>
    <col min="20" max="20" width="23.33203125" customWidth="1"/>
    <col min="21" max="21" width="20.88671875" customWidth="1"/>
    <col min="22" max="22" width="16.33203125"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366</v>
      </c>
      <c r="P1" t="s">
        <v>367</v>
      </c>
      <c r="Q1" t="s">
        <v>368</v>
      </c>
      <c r="R1" t="s">
        <v>369</v>
      </c>
      <c r="S1" t="s">
        <v>387</v>
      </c>
      <c r="T1" t="s">
        <v>393</v>
      </c>
      <c r="U1" t="s">
        <v>416</v>
      </c>
      <c r="V1" t="s">
        <v>417</v>
      </c>
    </row>
    <row r="2" spans="1:26" x14ac:dyDescent="0.3">
      <c r="A2" t="s">
        <v>14</v>
      </c>
      <c r="B2" t="s">
        <v>15</v>
      </c>
      <c r="C2" t="s">
        <v>16</v>
      </c>
      <c r="D2" s="1">
        <v>4595896</v>
      </c>
      <c r="E2" s="1">
        <v>-74167459</v>
      </c>
      <c r="F2" s="2">
        <v>45179</v>
      </c>
      <c r="G2" t="s">
        <v>382</v>
      </c>
      <c r="H2">
        <v>4000000</v>
      </c>
      <c r="I2">
        <v>1962045</v>
      </c>
      <c r="J2">
        <v>0</v>
      </c>
      <c r="K2" t="s">
        <v>17</v>
      </c>
      <c r="L2">
        <v>2000000</v>
      </c>
      <c r="M2" t="s">
        <v>18</v>
      </c>
      <c r="N2" t="s">
        <v>19</v>
      </c>
      <c r="O2" s="3" t="s">
        <v>370</v>
      </c>
      <c r="P2" s="3">
        <v>47</v>
      </c>
      <c r="Q2" t="s">
        <v>372</v>
      </c>
      <c r="R2" t="s">
        <v>373</v>
      </c>
      <c r="S2">
        <f>IF(Tabla1[[#This Row],[dias_mora]]&gt;30,Tabla1[[#This Row],[saldo_cartera]],0)</f>
        <v>0</v>
      </c>
      <c r="T2">
        <f>Tabla1[[#This Row],[saldo_mora_30]]/Tabla1[[#This Row],[saldo_cartera]]</f>
        <v>0</v>
      </c>
      <c r="U2" t="str">
        <f>VLOOKUP(N2,asesores_ficticio!$A:$C,3,FALSE)</f>
        <v>Bello</v>
      </c>
      <c r="V2" t="str">
        <f t="shared" ref="V2:V65" si="0">IF(B2=U2,"SI","NO")</f>
        <v>NO</v>
      </c>
      <c r="W2" cm="1">
        <f t="array" ref="W2">SUMPRODUCT(--ISERROR(U2:U321))</f>
        <v>0</v>
      </c>
      <c r="X2">
        <f>COUNTBLANK(V2:V321)</f>
        <v>0</v>
      </c>
      <c r="Y2">
        <f>COUNTIF(V2:V321,"SI")</f>
        <v>23</v>
      </c>
      <c r="Z2">
        <f>COUNTIF(V2:V321,"SI")</f>
        <v>23</v>
      </c>
    </row>
    <row r="3" spans="1:26" x14ac:dyDescent="0.3">
      <c r="A3" t="s">
        <v>20</v>
      </c>
      <c r="B3" t="s">
        <v>379</v>
      </c>
      <c r="C3" t="s">
        <v>21</v>
      </c>
      <c r="D3" s="1">
        <v>6270002</v>
      </c>
      <c r="E3" s="1">
        <v>-75537509</v>
      </c>
      <c r="F3" s="2">
        <v>45890</v>
      </c>
      <c r="G3" t="s">
        <v>382</v>
      </c>
      <c r="H3">
        <v>500000</v>
      </c>
      <c r="I3">
        <v>413510</v>
      </c>
      <c r="J3">
        <v>45</v>
      </c>
      <c r="K3" t="s">
        <v>22</v>
      </c>
      <c r="L3">
        <v>2000000</v>
      </c>
      <c r="M3" t="s">
        <v>23</v>
      </c>
      <c r="N3" t="s">
        <v>24</v>
      </c>
      <c r="O3" s="3" t="s">
        <v>371</v>
      </c>
      <c r="P3" s="3">
        <v>45</v>
      </c>
      <c r="Q3" t="s">
        <v>374</v>
      </c>
      <c r="R3" t="s">
        <v>373</v>
      </c>
      <c r="S3">
        <f>IF(Tabla1[[#This Row],[dias_mora]]&gt;30,Tabla1[[#This Row],[saldo_cartera]],0)</f>
        <v>413510</v>
      </c>
      <c r="T3">
        <f>Tabla1[[#This Row],[saldo_mora_30]]/Tabla1[[#This Row],[saldo_cartera]]</f>
        <v>1</v>
      </c>
      <c r="U3" t="str">
        <f>VLOOKUP(N3,asesores_ficticio!$A:$C,3,FALSE)</f>
        <v>Soacha</v>
      </c>
      <c r="V3" t="str">
        <f t="shared" si="0"/>
        <v>NO</v>
      </c>
    </row>
    <row r="4" spans="1:26" x14ac:dyDescent="0.3">
      <c r="A4" t="s">
        <v>25</v>
      </c>
      <c r="B4" t="s">
        <v>26</v>
      </c>
      <c r="C4" t="s">
        <v>21</v>
      </c>
      <c r="D4" s="1">
        <v>6182028</v>
      </c>
      <c r="E4" s="1">
        <v>-75342309</v>
      </c>
      <c r="F4" s="2">
        <v>45366</v>
      </c>
      <c r="G4" t="s">
        <v>383</v>
      </c>
      <c r="H4">
        <v>4000000</v>
      </c>
      <c r="I4">
        <v>2603320</v>
      </c>
      <c r="J4">
        <v>5</v>
      </c>
      <c r="K4" t="s">
        <v>27</v>
      </c>
      <c r="L4">
        <v>1300000</v>
      </c>
      <c r="M4" t="s">
        <v>28</v>
      </c>
      <c r="N4" t="s">
        <v>29</v>
      </c>
      <c r="O4" s="3" t="s">
        <v>370</v>
      </c>
      <c r="P4" s="3">
        <v>42</v>
      </c>
      <c r="Q4" t="s">
        <v>375</v>
      </c>
      <c r="R4" t="s">
        <v>376</v>
      </c>
      <c r="S4">
        <f>IF(Tabla1[[#This Row],[dias_mora]]&gt;30,Tabla1[[#This Row],[saldo_cartera]],0)</f>
        <v>0</v>
      </c>
      <c r="T4">
        <f>Tabla1[[#This Row],[saldo_mora_30]]/Tabla1[[#This Row],[saldo_cartera]]</f>
        <v>0</v>
      </c>
      <c r="U4" t="str">
        <f>VLOOKUP(N4,asesores_ficticio!$A:$C,3,FALSE)</f>
        <v>Rionegro</v>
      </c>
      <c r="V4" t="str">
        <f t="shared" si="0"/>
        <v>SI</v>
      </c>
      <c r="X4">
        <f>COUNTA(V2:V321)</f>
        <v>320</v>
      </c>
    </row>
    <row r="5" spans="1:26" x14ac:dyDescent="0.3">
      <c r="A5" t="s">
        <v>30</v>
      </c>
      <c r="B5" t="s">
        <v>15</v>
      </c>
      <c r="C5" t="s">
        <v>16</v>
      </c>
      <c r="D5" s="1">
        <v>4634156</v>
      </c>
      <c r="E5" s="1">
        <v>-7417244</v>
      </c>
      <c r="F5" s="2">
        <v>45695</v>
      </c>
      <c r="G5" t="s">
        <v>382</v>
      </c>
      <c r="H5">
        <v>800000</v>
      </c>
      <c r="I5">
        <v>638826</v>
      </c>
      <c r="J5">
        <v>30</v>
      </c>
      <c r="K5" t="s">
        <v>22</v>
      </c>
      <c r="L5">
        <v>2000000</v>
      </c>
      <c r="M5" t="s">
        <v>31</v>
      </c>
      <c r="N5" t="s">
        <v>32</v>
      </c>
      <c r="O5" s="3" t="s">
        <v>371</v>
      </c>
      <c r="P5" s="3">
        <v>30</v>
      </c>
      <c r="Q5" t="s">
        <v>374</v>
      </c>
      <c r="R5" t="s">
        <v>373</v>
      </c>
      <c r="S5">
        <f>IF(Tabla1[[#This Row],[dias_mora]]&gt;30,Tabla1[[#This Row],[saldo_cartera]],0)</f>
        <v>0</v>
      </c>
      <c r="T5">
        <f>Tabla1[[#This Row],[saldo_mora_30]]/Tabla1[[#This Row],[saldo_cartera]]</f>
        <v>0</v>
      </c>
      <c r="U5" t="str">
        <f>VLOOKUP(N5,asesores_ficticio!$A:$C,3,FALSE)</f>
        <v>Cali</v>
      </c>
      <c r="V5" t="str">
        <f t="shared" si="0"/>
        <v>NO</v>
      </c>
    </row>
    <row r="6" spans="1:26" x14ac:dyDescent="0.3">
      <c r="A6" t="s">
        <v>33</v>
      </c>
      <c r="B6" t="s">
        <v>34</v>
      </c>
      <c r="C6" t="s">
        <v>386</v>
      </c>
      <c r="D6" s="1">
        <v>10906759</v>
      </c>
      <c r="E6" s="1">
        <v>-74854059</v>
      </c>
      <c r="F6" s="2">
        <v>46308</v>
      </c>
      <c r="G6" t="s">
        <v>382</v>
      </c>
      <c r="H6">
        <v>4000000</v>
      </c>
      <c r="I6">
        <v>2308652</v>
      </c>
      <c r="J6">
        <v>0</v>
      </c>
      <c r="K6" t="s">
        <v>22</v>
      </c>
      <c r="L6">
        <v>2800000</v>
      </c>
      <c r="M6" t="s">
        <v>18</v>
      </c>
      <c r="N6" t="s">
        <v>35</v>
      </c>
      <c r="O6" s="3" t="s">
        <v>371</v>
      </c>
      <c r="P6" s="3">
        <v>32</v>
      </c>
      <c r="Q6" t="s">
        <v>377</v>
      </c>
      <c r="R6" t="s">
        <v>373</v>
      </c>
      <c r="S6">
        <f>IF(Tabla1[[#This Row],[dias_mora]]&gt;30,Tabla1[[#This Row],[saldo_cartera]],0)</f>
        <v>0</v>
      </c>
      <c r="T6">
        <f>Tabla1[[#This Row],[saldo_mora_30]]/Tabla1[[#This Row],[saldo_cartera]]</f>
        <v>0</v>
      </c>
      <c r="U6" t="str">
        <f>VLOOKUP(N6,asesores_ficticio!$A:$C,3,FALSE)</f>
        <v>Bucaramanga</v>
      </c>
      <c r="V6" t="str">
        <f t="shared" si="0"/>
        <v>NO</v>
      </c>
    </row>
    <row r="7" spans="1:26" x14ac:dyDescent="0.3">
      <c r="A7" t="s">
        <v>36</v>
      </c>
      <c r="B7" t="s">
        <v>34</v>
      </c>
      <c r="C7" t="s">
        <v>386</v>
      </c>
      <c r="D7" s="1">
        <v>10898446</v>
      </c>
      <c r="E7" s="1">
        <v>-74868861</v>
      </c>
      <c r="F7" s="2">
        <v>46298</v>
      </c>
      <c r="G7" t="s">
        <v>383</v>
      </c>
      <c r="H7">
        <v>500000</v>
      </c>
      <c r="I7">
        <v>114958</v>
      </c>
      <c r="J7">
        <v>0</v>
      </c>
      <c r="K7" t="s">
        <v>37</v>
      </c>
      <c r="L7">
        <v>3500000</v>
      </c>
      <c r="M7" t="s">
        <v>28</v>
      </c>
      <c r="N7" t="s">
        <v>38</v>
      </c>
      <c r="O7" s="3" t="s">
        <v>370</v>
      </c>
      <c r="P7" s="3">
        <v>29</v>
      </c>
      <c r="Q7" t="s">
        <v>372</v>
      </c>
      <c r="R7" t="s">
        <v>378</v>
      </c>
      <c r="S7">
        <f>IF(Tabla1[[#This Row],[dias_mora]]&gt;30,Tabla1[[#This Row],[saldo_cartera]],0)</f>
        <v>0</v>
      </c>
      <c r="T7">
        <f>Tabla1[[#This Row],[saldo_mora_30]]/Tabla1[[#This Row],[saldo_cartera]]</f>
        <v>0</v>
      </c>
      <c r="U7" t="str">
        <f>VLOOKUP(N7,asesores_ficticio!$A:$C,3,FALSE)</f>
        <v>Barranquilla</v>
      </c>
      <c r="V7" t="str">
        <f t="shared" si="0"/>
        <v>SI</v>
      </c>
    </row>
    <row r="8" spans="1:26" x14ac:dyDescent="0.3">
      <c r="A8" t="s">
        <v>39</v>
      </c>
      <c r="B8" t="s">
        <v>40</v>
      </c>
      <c r="C8" t="s">
        <v>41</v>
      </c>
      <c r="D8" s="1">
        <v>7079526</v>
      </c>
      <c r="E8" s="1">
        <v>-73114184</v>
      </c>
      <c r="F8" s="2">
        <v>45972</v>
      </c>
      <c r="G8" t="s">
        <v>384</v>
      </c>
      <c r="H8">
        <v>500000</v>
      </c>
      <c r="I8">
        <v>339120</v>
      </c>
      <c r="J8">
        <v>0</v>
      </c>
      <c r="K8" t="s">
        <v>27</v>
      </c>
      <c r="L8">
        <v>2800000</v>
      </c>
      <c r="M8" t="s">
        <v>31</v>
      </c>
      <c r="N8" t="s">
        <v>42</v>
      </c>
      <c r="O8" s="3" t="s">
        <v>371</v>
      </c>
      <c r="P8" s="3">
        <v>56</v>
      </c>
      <c r="Q8" t="s">
        <v>377</v>
      </c>
      <c r="R8" t="s">
        <v>373</v>
      </c>
      <c r="S8">
        <f>IF(Tabla1[[#This Row],[dias_mora]]&gt;30,Tabla1[[#This Row],[saldo_cartera]],0)</f>
        <v>0</v>
      </c>
      <c r="T8">
        <f>Tabla1[[#This Row],[saldo_mora_30]]/Tabla1[[#This Row],[saldo_cartera]]</f>
        <v>0</v>
      </c>
      <c r="U8" t="str">
        <f>VLOOKUP(N8,asesores_ficticio!$A:$C,3,FALSE)</f>
        <v>Itagüí</v>
      </c>
      <c r="V8" t="str">
        <f t="shared" si="0"/>
        <v>NO</v>
      </c>
    </row>
    <row r="9" spans="1:26" x14ac:dyDescent="0.3">
      <c r="A9" t="s">
        <v>43</v>
      </c>
      <c r="B9" t="s">
        <v>34</v>
      </c>
      <c r="C9" t="s">
        <v>386</v>
      </c>
      <c r="D9" s="1">
        <v>10884419</v>
      </c>
      <c r="E9" s="1">
        <v>-74760865</v>
      </c>
      <c r="F9" s="2">
        <v>45240</v>
      </c>
      <c r="G9" t="s">
        <v>385</v>
      </c>
      <c r="H9">
        <v>4000000</v>
      </c>
      <c r="I9">
        <v>1295523</v>
      </c>
      <c r="J9">
        <v>0</v>
      </c>
      <c r="K9" t="s">
        <v>22</v>
      </c>
      <c r="L9">
        <v>1300000</v>
      </c>
      <c r="M9" t="s">
        <v>23</v>
      </c>
      <c r="N9" t="s">
        <v>42</v>
      </c>
      <c r="O9" s="3" t="s">
        <v>371</v>
      </c>
      <c r="P9" s="3">
        <v>57</v>
      </c>
      <c r="Q9" t="s">
        <v>372</v>
      </c>
      <c r="R9" t="s">
        <v>376</v>
      </c>
      <c r="S9">
        <f>IF(Tabla1[[#This Row],[dias_mora]]&gt;30,Tabla1[[#This Row],[saldo_cartera]],0)</f>
        <v>0</v>
      </c>
      <c r="T9">
        <f>Tabla1[[#This Row],[saldo_mora_30]]/Tabla1[[#This Row],[saldo_cartera]]</f>
        <v>0</v>
      </c>
      <c r="U9" t="str">
        <f>VLOOKUP(N9,asesores_ficticio!$A:$C,3,FALSE)</f>
        <v>Itagüí</v>
      </c>
      <c r="V9" t="str">
        <f t="shared" si="0"/>
        <v>NO</v>
      </c>
    </row>
    <row r="10" spans="1:26" x14ac:dyDescent="0.3">
      <c r="A10" t="s">
        <v>44</v>
      </c>
      <c r="B10" t="s">
        <v>40</v>
      </c>
      <c r="C10" t="s">
        <v>41</v>
      </c>
      <c r="D10" s="1">
        <v>719186</v>
      </c>
      <c r="E10" s="1">
        <v>-73055111</v>
      </c>
      <c r="F10" s="2">
        <v>45785</v>
      </c>
      <c r="G10" t="s">
        <v>384</v>
      </c>
      <c r="H10">
        <v>500000</v>
      </c>
      <c r="I10">
        <v>304551</v>
      </c>
      <c r="J10">
        <v>0</v>
      </c>
      <c r="K10" t="s">
        <v>22</v>
      </c>
      <c r="L10">
        <v>900000</v>
      </c>
      <c r="M10" t="s">
        <v>28</v>
      </c>
      <c r="N10" t="s">
        <v>19</v>
      </c>
      <c r="O10" s="3" t="s">
        <v>370</v>
      </c>
      <c r="P10" s="3">
        <v>63</v>
      </c>
      <c r="Q10" t="s">
        <v>377</v>
      </c>
      <c r="R10" t="s">
        <v>376</v>
      </c>
      <c r="S10">
        <f>IF(Tabla1[[#This Row],[dias_mora]]&gt;30,Tabla1[[#This Row],[saldo_cartera]],0)</f>
        <v>0</v>
      </c>
      <c r="T10">
        <f>Tabla1[[#This Row],[saldo_mora_30]]/Tabla1[[#This Row],[saldo_cartera]]</f>
        <v>0</v>
      </c>
      <c r="U10" t="str">
        <f>VLOOKUP(N10,asesores_ficticio!$A:$C,3,FALSE)</f>
        <v>Bello</v>
      </c>
      <c r="V10" t="str">
        <f t="shared" si="0"/>
        <v>NO</v>
      </c>
    </row>
    <row r="11" spans="1:26" x14ac:dyDescent="0.3">
      <c r="A11" t="s">
        <v>45</v>
      </c>
      <c r="B11" t="s">
        <v>46</v>
      </c>
      <c r="C11" t="s">
        <v>21</v>
      </c>
      <c r="D11" s="1">
        <v>6374405</v>
      </c>
      <c r="E11" s="1">
        <v>-75507436</v>
      </c>
      <c r="F11" s="2">
        <v>46271</v>
      </c>
      <c r="G11" t="s">
        <v>382</v>
      </c>
      <c r="H11">
        <v>6000000</v>
      </c>
      <c r="I11">
        <v>3316801</v>
      </c>
      <c r="J11">
        <v>0</v>
      </c>
      <c r="K11" t="s">
        <v>17</v>
      </c>
      <c r="L11">
        <v>3500000</v>
      </c>
      <c r="M11" t="s">
        <v>28</v>
      </c>
      <c r="N11" t="s">
        <v>32</v>
      </c>
      <c r="O11" s="3" t="s">
        <v>370</v>
      </c>
      <c r="P11" s="3">
        <v>36</v>
      </c>
      <c r="Q11" t="s">
        <v>377</v>
      </c>
      <c r="R11" t="s">
        <v>378</v>
      </c>
      <c r="S11">
        <f>IF(Tabla1[[#This Row],[dias_mora]]&gt;30,Tabla1[[#This Row],[saldo_cartera]],0)</f>
        <v>0</v>
      </c>
      <c r="T11">
        <f>Tabla1[[#This Row],[saldo_mora_30]]/Tabla1[[#This Row],[saldo_cartera]]</f>
        <v>0</v>
      </c>
      <c r="U11" t="str">
        <f>VLOOKUP(N11,asesores_ficticio!$A:$C,3,FALSE)</f>
        <v>Cali</v>
      </c>
      <c r="V11" t="str">
        <f t="shared" si="0"/>
        <v>NO</v>
      </c>
    </row>
    <row r="12" spans="1:26" x14ac:dyDescent="0.3">
      <c r="A12" t="s">
        <v>47</v>
      </c>
      <c r="B12" t="s">
        <v>26</v>
      </c>
      <c r="C12" t="s">
        <v>21</v>
      </c>
      <c r="D12" s="1">
        <v>6223426</v>
      </c>
      <c r="E12" s="1">
        <v>-75333758</v>
      </c>
      <c r="F12" s="2">
        <v>45886</v>
      </c>
      <c r="G12" t="s">
        <v>383</v>
      </c>
      <c r="H12">
        <v>4000000</v>
      </c>
      <c r="I12">
        <v>1083914</v>
      </c>
      <c r="J12">
        <v>0</v>
      </c>
      <c r="K12" t="s">
        <v>48</v>
      </c>
      <c r="L12">
        <v>3500000</v>
      </c>
      <c r="M12" t="s">
        <v>18</v>
      </c>
      <c r="N12" t="s">
        <v>29</v>
      </c>
      <c r="O12" s="3" t="s">
        <v>370</v>
      </c>
      <c r="P12" s="3">
        <v>61</v>
      </c>
      <c r="Q12" t="s">
        <v>372</v>
      </c>
      <c r="R12" t="s">
        <v>378</v>
      </c>
      <c r="S12">
        <f>IF(Tabla1[[#This Row],[dias_mora]]&gt;30,Tabla1[[#This Row],[saldo_cartera]],0)</f>
        <v>0</v>
      </c>
      <c r="T12">
        <f>Tabla1[[#This Row],[saldo_mora_30]]/Tabla1[[#This Row],[saldo_cartera]]</f>
        <v>0</v>
      </c>
      <c r="U12" t="str">
        <f>VLOOKUP(N12,asesores_ficticio!$A:$C,3,FALSE)</f>
        <v>Rionegro</v>
      </c>
      <c r="V12" t="str">
        <f t="shared" si="0"/>
        <v>SI</v>
      </c>
    </row>
    <row r="13" spans="1:26" x14ac:dyDescent="0.3">
      <c r="A13" t="s">
        <v>49</v>
      </c>
      <c r="B13" t="s">
        <v>46</v>
      </c>
      <c r="C13" t="s">
        <v>21</v>
      </c>
      <c r="D13" s="1">
        <v>6311394</v>
      </c>
      <c r="E13" s="1">
        <v>-75543871</v>
      </c>
      <c r="F13" s="2">
        <v>45019</v>
      </c>
      <c r="G13" t="s">
        <v>384</v>
      </c>
      <c r="H13">
        <v>800000</v>
      </c>
      <c r="I13">
        <v>480139</v>
      </c>
      <c r="J13">
        <v>0</v>
      </c>
      <c r="K13" t="s">
        <v>27</v>
      </c>
      <c r="L13">
        <v>3500000</v>
      </c>
      <c r="M13" t="s">
        <v>50</v>
      </c>
      <c r="N13" t="s">
        <v>35</v>
      </c>
      <c r="O13" s="3" t="s">
        <v>371</v>
      </c>
      <c r="P13" s="3">
        <v>48</v>
      </c>
      <c r="Q13" t="s">
        <v>377</v>
      </c>
      <c r="R13" t="s">
        <v>378</v>
      </c>
      <c r="S13">
        <f>IF(Tabla1[[#This Row],[dias_mora]]&gt;30,Tabla1[[#This Row],[saldo_cartera]],0)</f>
        <v>0</v>
      </c>
      <c r="T13">
        <f>Tabla1[[#This Row],[saldo_mora_30]]/Tabla1[[#This Row],[saldo_cartera]]</f>
        <v>0</v>
      </c>
      <c r="U13" t="str">
        <f>VLOOKUP(N13,asesores_ficticio!$A:$C,3,FALSE)</f>
        <v>Bucaramanga</v>
      </c>
      <c r="V13" t="str">
        <f t="shared" si="0"/>
        <v>NO</v>
      </c>
    </row>
    <row r="14" spans="1:26" x14ac:dyDescent="0.3">
      <c r="A14" t="s">
        <v>51</v>
      </c>
      <c r="B14" t="s">
        <v>26</v>
      </c>
      <c r="C14" t="s">
        <v>21</v>
      </c>
      <c r="D14" s="1">
        <v>6119356</v>
      </c>
      <c r="E14" s="1">
        <v>-75376934</v>
      </c>
      <c r="F14" s="2">
        <v>46138</v>
      </c>
      <c r="G14" t="s">
        <v>383</v>
      </c>
      <c r="H14">
        <v>2500000</v>
      </c>
      <c r="I14">
        <v>531163</v>
      </c>
      <c r="J14">
        <v>60</v>
      </c>
      <c r="K14" t="s">
        <v>37</v>
      </c>
      <c r="L14">
        <v>2800000</v>
      </c>
      <c r="M14" t="s">
        <v>18</v>
      </c>
      <c r="N14" t="s">
        <v>19</v>
      </c>
      <c r="O14" s="3" t="s">
        <v>370</v>
      </c>
      <c r="P14" s="3">
        <v>42</v>
      </c>
      <c r="Q14" t="s">
        <v>374</v>
      </c>
      <c r="R14" t="s">
        <v>373</v>
      </c>
      <c r="S14">
        <f>IF(Tabla1[[#This Row],[dias_mora]]&gt;30,Tabla1[[#This Row],[saldo_cartera]],0)</f>
        <v>531163</v>
      </c>
      <c r="T14">
        <f>Tabla1[[#This Row],[saldo_mora_30]]/Tabla1[[#This Row],[saldo_cartera]]</f>
        <v>1</v>
      </c>
      <c r="U14" t="str">
        <f>VLOOKUP(N14,asesores_ficticio!$A:$C,3,FALSE)</f>
        <v>Bello</v>
      </c>
      <c r="V14" t="str">
        <f t="shared" si="0"/>
        <v>NO</v>
      </c>
    </row>
    <row r="15" spans="1:26" x14ac:dyDescent="0.3">
      <c r="A15" t="s">
        <v>52</v>
      </c>
      <c r="B15" t="s">
        <v>46</v>
      </c>
      <c r="C15" t="s">
        <v>21</v>
      </c>
      <c r="D15" s="1">
        <v>6362737</v>
      </c>
      <c r="E15" s="1">
        <v>-75581312</v>
      </c>
      <c r="F15" s="2">
        <v>44939</v>
      </c>
      <c r="G15" t="s">
        <v>382</v>
      </c>
      <c r="H15">
        <v>1800000</v>
      </c>
      <c r="I15">
        <v>894548</v>
      </c>
      <c r="J15">
        <v>15</v>
      </c>
      <c r="K15" t="s">
        <v>48</v>
      </c>
      <c r="L15">
        <v>3500000</v>
      </c>
      <c r="M15" t="s">
        <v>18</v>
      </c>
      <c r="N15" t="s">
        <v>29</v>
      </c>
      <c r="O15" s="3" t="s">
        <v>370</v>
      </c>
      <c r="P15" s="3">
        <v>60</v>
      </c>
      <c r="Q15" t="s">
        <v>375</v>
      </c>
      <c r="R15" t="s">
        <v>378</v>
      </c>
      <c r="S15">
        <f>IF(Tabla1[[#This Row],[dias_mora]]&gt;30,Tabla1[[#This Row],[saldo_cartera]],0)</f>
        <v>0</v>
      </c>
      <c r="T15">
        <f>Tabla1[[#This Row],[saldo_mora_30]]/Tabla1[[#This Row],[saldo_cartera]]</f>
        <v>0</v>
      </c>
      <c r="U15" t="str">
        <f>VLOOKUP(N15,asesores_ficticio!$A:$C,3,FALSE)</f>
        <v>Rionegro</v>
      </c>
      <c r="V15" t="str">
        <f t="shared" si="0"/>
        <v>NO</v>
      </c>
    </row>
    <row r="16" spans="1:26" x14ac:dyDescent="0.3">
      <c r="A16" t="s">
        <v>53</v>
      </c>
      <c r="B16" t="s">
        <v>26</v>
      </c>
      <c r="C16" t="s">
        <v>21</v>
      </c>
      <c r="D16" s="1">
        <v>6160606</v>
      </c>
      <c r="E16" s="1">
        <v>-75432171</v>
      </c>
      <c r="F16" s="2">
        <v>46269</v>
      </c>
      <c r="G16" t="s">
        <v>384</v>
      </c>
      <c r="H16">
        <v>800000</v>
      </c>
      <c r="I16">
        <v>269411</v>
      </c>
      <c r="J16">
        <v>0</v>
      </c>
      <c r="K16" t="s">
        <v>17</v>
      </c>
      <c r="L16">
        <v>900000</v>
      </c>
      <c r="M16" t="s">
        <v>50</v>
      </c>
      <c r="N16" t="s">
        <v>19</v>
      </c>
      <c r="O16" s="3" t="s">
        <v>371</v>
      </c>
      <c r="P16" s="3">
        <v>60</v>
      </c>
      <c r="Q16" t="s">
        <v>372</v>
      </c>
      <c r="R16" t="s">
        <v>376</v>
      </c>
      <c r="S16">
        <f>IF(Tabla1[[#This Row],[dias_mora]]&gt;30,Tabla1[[#This Row],[saldo_cartera]],0)</f>
        <v>0</v>
      </c>
      <c r="T16">
        <f>Tabla1[[#This Row],[saldo_mora_30]]/Tabla1[[#This Row],[saldo_cartera]]</f>
        <v>0</v>
      </c>
      <c r="U16" t="str">
        <f>VLOOKUP(N16,asesores_ficticio!$A:$C,3,FALSE)</f>
        <v>Bello</v>
      </c>
      <c r="V16" t="str">
        <f t="shared" si="0"/>
        <v>NO</v>
      </c>
    </row>
    <row r="17" spans="1:22" x14ac:dyDescent="0.3">
      <c r="A17" t="s">
        <v>54</v>
      </c>
      <c r="B17" t="s">
        <v>26</v>
      </c>
      <c r="C17" t="s">
        <v>21</v>
      </c>
      <c r="D17" s="1">
        <v>610141</v>
      </c>
      <c r="E17" s="1">
        <v>-75376897</v>
      </c>
      <c r="F17" s="2">
        <v>46035</v>
      </c>
      <c r="G17" t="s">
        <v>382</v>
      </c>
      <c r="H17">
        <v>800000</v>
      </c>
      <c r="I17">
        <v>667962</v>
      </c>
      <c r="J17">
        <v>45</v>
      </c>
      <c r="K17" t="s">
        <v>37</v>
      </c>
      <c r="L17">
        <v>1300000</v>
      </c>
      <c r="M17" t="s">
        <v>23</v>
      </c>
      <c r="N17" t="s">
        <v>32</v>
      </c>
      <c r="O17" s="3" t="s">
        <v>370</v>
      </c>
      <c r="P17" s="3">
        <v>37</v>
      </c>
      <c r="Q17" t="s">
        <v>374</v>
      </c>
      <c r="R17" t="s">
        <v>376</v>
      </c>
      <c r="S17">
        <f>IF(Tabla1[[#This Row],[dias_mora]]&gt;30,Tabla1[[#This Row],[saldo_cartera]],0)</f>
        <v>667962</v>
      </c>
      <c r="T17">
        <f>Tabla1[[#This Row],[saldo_mora_30]]/Tabla1[[#This Row],[saldo_cartera]]</f>
        <v>1</v>
      </c>
      <c r="U17" t="str">
        <f>VLOOKUP(N17,asesores_ficticio!$A:$C,3,FALSE)</f>
        <v>Cali</v>
      </c>
      <c r="V17" t="str">
        <f t="shared" si="0"/>
        <v>NO</v>
      </c>
    </row>
    <row r="18" spans="1:22" x14ac:dyDescent="0.3">
      <c r="A18" t="s">
        <v>55</v>
      </c>
      <c r="B18" t="s">
        <v>40</v>
      </c>
      <c r="C18" t="s">
        <v>41</v>
      </c>
      <c r="D18" s="1">
        <v>7145199</v>
      </c>
      <c r="E18" s="1">
        <v>-73124833</v>
      </c>
      <c r="F18" s="2">
        <v>45271</v>
      </c>
      <c r="G18" t="s">
        <v>384</v>
      </c>
      <c r="H18">
        <v>800000</v>
      </c>
      <c r="I18">
        <v>281761</v>
      </c>
      <c r="J18">
        <v>90</v>
      </c>
      <c r="K18" t="s">
        <v>48</v>
      </c>
      <c r="L18">
        <v>2800000</v>
      </c>
      <c r="M18" t="s">
        <v>28</v>
      </c>
      <c r="N18" t="s">
        <v>38</v>
      </c>
      <c r="O18" s="3" t="s">
        <v>371</v>
      </c>
      <c r="P18" s="3">
        <v>41</v>
      </c>
      <c r="Q18" t="s">
        <v>374</v>
      </c>
      <c r="R18" t="s">
        <v>373</v>
      </c>
      <c r="S18">
        <f>IF(Tabla1[[#This Row],[dias_mora]]&gt;30,Tabla1[[#This Row],[saldo_cartera]],0)</f>
        <v>281761</v>
      </c>
      <c r="T18">
        <f>Tabla1[[#This Row],[saldo_mora_30]]/Tabla1[[#This Row],[saldo_cartera]]</f>
        <v>1</v>
      </c>
      <c r="U18" t="str">
        <f>VLOOKUP(N18,asesores_ficticio!$A:$C,3,FALSE)</f>
        <v>Barranquilla</v>
      </c>
      <c r="V18" t="str">
        <f t="shared" si="0"/>
        <v>NO</v>
      </c>
    </row>
    <row r="19" spans="1:22" x14ac:dyDescent="0.3">
      <c r="A19" t="s">
        <v>56</v>
      </c>
      <c r="B19" t="s">
        <v>40</v>
      </c>
      <c r="C19" t="s">
        <v>41</v>
      </c>
      <c r="D19" s="1">
        <v>7186402</v>
      </c>
      <c r="E19" s="1">
        <v>-7311772</v>
      </c>
      <c r="F19" s="2">
        <v>45202</v>
      </c>
      <c r="G19" t="s">
        <v>385</v>
      </c>
      <c r="H19">
        <v>500000</v>
      </c>
      <c r="I19">
        <v>458331</v>
      </c>
      <c r="J19">
        <v>0</v>
      </c>
      <c r="K19" t="s">
        <v>37</v>
      </c>
      <c r="L19">
        <v>1300000</v>
      </c>
      <c r="M19" t="s">
        <v>50</v>
      </c>
      <c r="N19" t="s">
        <v>57</v>
      </c>
      <c r="O19" s="3" t="s">
        <v>370</v>
      </c>
      <c r="P19" s="3">
        <v>25</v>
      </c>
      <c r="Q19" t="s">
        <v>377</v>
      </c>
      <c r="R19" t="s">
        <v>376</v>
      </c>
      <c r="S19">
        <f>IF(Tabla1[[#This Row],[dias_mora]]&gt;30,Tabla1[[#This Row],[saldo_cartera]],0)</f>
        <v>0</v>
      </c>
      <c r="T19">
        <f>Tabla1[[#This Row],[saldo_mora_30]]/Tabla1[[#This Row],[saldo_cartera]]</f>
        <v>0</v>
      </c>
      <c r="U19" t="str">
        <f>VLOOKUP(N19,asesores_ficticio!$A:$C,3,FALSE)</f>
        <v>Pereira</v>
      </c>
      <c r="V19" t="str">
        <f t="shared" si="0"/>
        <v>NO</v>
      </c>
    </row>
    <row r="20" spans="1:22" x14ac:dyDescent="0.3">
      <c r="A20" t="s">
        <v>58</v>
      </c>
      <c r="B20" t="s">
        <v>26</v>
      </c>
      <c r="C20" t="s">
        <v>21</v>
      </c>
      <c r="D20" s="1">
        <v>6167427</v>
      </c>
      <c r="E20" s="1">
        <v>-75448241</v>
      </c>
      <c r="F20" s="2">
        <v>45784</v>
      </c>
      <c r="G20" t="s">
        <v>382</v>
      </c>
      <c r="H20">
        <v>500000</v>
      </c>
      <c r="I20">
        <v>228171</v>
      </c>
      <c r="J20">
        <v>0</v>
      </c>
      <c r="K20" t="s">
        <v>22</v>
      </c>
      <c r="L20">
        <v>2800000</v>
      </c>
      <c r="M20" t="s">
        <v>23</v>
      </c>
      <c r="N20" t="s">
        <v>32</v>
      </c>
      <c r="O20" s="3" t="s">
        <v>371</v>
      </c>
      <c r="P20" s="3">
        <v>30</v>
      </c>
      <c r="Q20" t="s">
        <v>372</v>
      </c>
      <c r="R20" t="s">
        <v>373</v>
      </c>
      <c r="S20">
        <f>IF(Tabla1[[#This Row],[dias_mora]]&gt;30,Tabla1[[#This Row],[saldo_cartera]],0)</f>
        <v>0</v>
      </c>
      <c r="T20">
        <f>Tabla1[[#This Row],[saldo_mora_30]]/Tabla1[[#This Row],[saldo_cartera]]</f>
        <v>0</v>
      </c>
      <c r="U20" t="str">
        <f>VLOOKUP(N20,asesores_ficticio!$A:$C,3,FALSE)</f>
        <v>Cali</v>
      </c>
      <c r="V20" t="str">
        <f t="shared" si="0"/>
        <v>NO</v>
      </c>
    </row>
    <row r="21" spans="1:22" x14ac:dyDescent="0.3">
      <c r="A21" t="s">
        <v>59</v>
      </c>
      <c r="B21" t="s">
        <v>380</v>
      </c>
      <c r="C21" t="s">
        <v>21</v>
      </c>
      <c r="D21" s="1">
        <v>619937</v>
      </c>
      <c r="E21" s="1">
        <v>-756442</v>
      </c>
      <c r="F21" s="2">
        <v>46314</v>
      </c>
      <c r="G21" t="s">
        <v>384</v>
      </c>
      <c r="H21">
        <v>1200000</v>
      </c>
      <c r="I21">
        <v>1067599</v>
      </c>
      <c r="J21">
        <v>60</v>
      </c>
      <c r="K21" t="s">
        <v>48</v>
      </c>
      <c r="L21">
        <v>900000</v>
      </c>
      <c r="M21" t="s">
        <v>28</v>
      </c>
      <c r="N21" t="s">
        <v>29</v>
      </c>
      <c r="O21" s="3" t="s">
        <v>370</v>
      </c>
      <c r="P21" s="3">
        <v>23</v>
      </c>
      <c r="Q21" t="s">
        <v>374</v>
      </c>
      <c r="R21" t="s">
        <v>376</v>
      </c>
      <c r="S21">
        <f>IF(Tabla1[[#This Row],[dias_mora]]&gt;30,Tabla1[[#This Row],[saldo_cartera]],0)</f>
        <v>1067599</v>
      </c>
      <c r="T21">
        <f>Tabla1[[#This Row],[saldo_mora_30]]/Tabla1[[#This Row],[saldo_cartera]]</f>
        <v>1</v>
      </c>
      <c r="U21" t="str">
        <f>VLOOKUP(N21,asesores_ficticio!$A:$C,3,FALSE)</f>
        <v>Rionegro</v>
      </c>
      <c r="V21" t="str">
        <f t="shared" si="0"/>
        <v>NO</v>
      </c>
    </row>
    <row r="22" spans="1:22" x14ac:dyDescent="0.3">
      <c r="A22" t="s">
        <v>60</v>
      </c>
      <c r="B22" t="s">
        <v>40</v>
      </c>
      <c r="C22" t="s">
        <v>41</v>
      </c>
      <c r="D22" s="1">
        <v>7081732</v>
      </c>
      <c r="E22" s="1">
        <v>-73053378</v>
      </c>
      <c r="F22" s="2">
        <v>46288</v>
      </c>
      <c r="G22" t="s">
        <v>382</v>
      </c>
      <c r="H22">
        <v>500000</v>
      </c>
      <c r="I22">
        <v>423690</v>
      </c>
      <c r="J22">
        <v>0</v>
      </c>
      <c r="K22" t="s">
        <v>17</v>
      </c>
      <c r="L22">
        <v>1300000</v>
      </c>
      <c r="M22" t="s">
        <v>28</v>
      </c>
      <c r="N22" t="s">
        <v>61</v>
      </c>
      <c r="O22" s="3" t="s">
        <v>370</v>
      </c>
      <c r="P22" s="3">
        <v>40</v>
      </c>
      <c r="Q22" t="s">
        <v>377</v>
      </c>
      <c r="R22" t="s">
        <v>376</v>
      </c>
      <c r="S22">
        <f>IF(Tabla1[[#This Row],[dias_mora]]&gt;30,Tabla1[[#This Row],[saldo_cartera]],0)</f>
        <v>0</v>
      </c>
      <c r="T22">
        <f>Tabla1[[#This Row],[saldo_mora_30]]/Tabla1[[#This Row],[saldo_cartera]]</f>
        <v>0</v>
      </c>
      <c r="U22" t="str">
        <f>VLOOKUP(N22,asesores_ficticio!$A:$C,3,FALSE)</f>
        <v>Medellín</v>
      </c>
      <c r="V22" t="str">
        <f t="shared" si="0"/>
        <v>NO</v>
      </c>
    </row>
    <row r="23" spans="1:22" x14ac:dyDescent="0.3">
      <c r="A23" t="s">
        <v>62</v>
      </c>
      <c r="B23" t="s">
        <v>40</v>
      </c>
      <c r="C23" t="s">
        <v>41</v>
      </c>
      <c r="D23" s="1">
        <v>7087201</v>
      </c>
      <c r="E23" s="1">
        <v>-73096558</v>
      </c>
      <c r="F23" s="2">
        <v>45422</v>
      </c>
      <c r="G23" t="s">
        <v>385</v>
      </c>
      <c r="H23">
        <v>800000</v>
      </c>
      <c r="I23">
        <v>259837</v>
      </c>
      <c r="J23">
        <v>45</v>
      </c>
      <c r="K23" t="s">
        <v>27</v>
      </c>
      <c r="L23">
        <v>3500000</v>
      </c>
      <c r="M23" t="s">
        <v>18</v>
      </c>
      <c r="N23" t="s">
        <v>63</v>
      </c>
      <c r="O23" s="3" t="s">
        <v>370</v>
      </c>
      <c r="P23" s="3">
        <v>59</v>
      </c>
      <c r="Q23" t="s">
        <v>374</v>
      </c>
      <c r="R23" t="s">
        <v>378</v>
      </c>
      <c r="S23">
        <f>IF(Tabla1[[#This Row],[dias_mora]]&gt;30,Tabla1[[#This Row],[saldo_cartera]],0)</f>
        <v>259837</v>
      </c>
      <c r="T23">
        <f>Tabla1[[#This Row],[saldo_mora_30]]/Tabla1[[#This Row],[saldo_cartera]]</f>
        <v>1</v>
      </c>
      <c r="U23" t="str">
        <f>VLOOKUP(N23,asesores_ficticio!$A:$C,3,FALSE)</f>
        <v>Bogotá</v>
      </c>
      <c r="V23" t="str">
        <f t="shared" si="0"/>
        <v>NO</v>
      </c>
    </row>
    <row r="24" spans="1:22" x14ac:dyDescent="0.3">
      <c r="A24" t="s">
        <v>64</v>
      </c>
      <c r="B24" t="s">
        <v>40</v>
      </c>
      <c r="C24" t="s">
        <v>41</v>
      </c>
      <c r="D24" s="1">
        <v>7117465</v>
      </c>
      <c r="E24" s="1">
        <v>-73057846</v>
      </c>
      <c r="F24" s="2">
        <v>44937</v>
      </c>
      <c r="G24" t="s">
        <v>385</v>
      </c>
      <c r="H24">
        <v>6000000</v>
      </c>
      <c r="I24">
        <v>859074</v>
      </c>
      <c r="J24">
        <v>5</v>
      </c>
      <c r="K24" t="s">
        <v>27</v>
      </c>
      <c r="L24">
        <v>1600000</v>
      </c>
      <c r="M24" t="s">
        <v>18</v>
      </c>
      <c r="N24" t="s">
        <v>38</v>
      </c>
      <c r="O24" s="3" t="s">
        <v>371</v>
      </c>
      <c r="P24" s="3">
        <v>37</v>
      </c>
      <c r="Q24" t="s">
        <v>375</v>
      </c>
      <c r="R24" t="s">
        <v>373</v>
      </c>
      <c r="S24">
        <f>IF(Tabla1[[#This Row],[dias_mora]]&gt;30,Tabla1[[#This Row],[saldo_cartera]],0)</f>
        <v>0</v>
      </c>
      <c r="T24">
        <f>Tabla1[[#This Row],[saldo_mora_30]]/Tabla1[[#This Row],[saldo_cartera]]</f>
        <v>0</v>
      </c>
      <c r="U24" t="str">
        <f>VLOOKUP(N24,asesores_ficticio!$A:$C,3,FALSE)</f>
        <v>Barranquilla</v>
      </c>
      <c r="V24" t="str">
        <f t="shared" si="0"/>
        <v>NO</v>
      </c>
    </row>
    <row r="25" spans="1:22" x14ac:dyDescent="0.3">
      <c r="A25" t="s">
        <v>65</v>
      </c>
      <c r="B25" t="s">
        <v>40</v>
      </c>
      <c r="C25" t="s">
        <v>41</v>
      </c>
      <c r="D25" s="1">
        <v>7152207</v>
      </c>
      <c r="E25" s="1">
        <v>-73112955</v>
      </c>
      <c r="F25" s="2">
        <v>45096</v>
      </c>
      <c r="G25" t="s">
        <v>385</v>
      </c>
      <c r="H25">
        <v>500000</v>
      </c>
      <c r="I25">
        <v>81979</v>
      </c>
      <c r="J25">
        <v>45</v>
      </c>
      <c r="K25" t="s">
        <v>37</v>
      </c>
      <c r="L25">
        <v>1300000</v>
      </c>
      <c r="M25" t="s">
        <v>18</v>
      </c>
      <c r="N25" t="s">
        <v>61</v>
      </c>
      <c r="O25" s="3" t="s">
        <v>371</v>
      </c>
      <c r="P25" s="3">
        <v>42</v>
      </c>
      <c r="Q25" t="s">
        <v>374</v>
      </c>
      <c r="R25" t="s">
        <v>376</v>
      </c>
      <c r="S25">
        <f>IF(Tabla1[[#This Row],[dias_mora]]&gt;30,Tabla1[[#This Row],[saldo_cartera]],0)</f>
        <v>81979</v>
      </c>
      <c r="T25">
        <f>Tabla1[[#This Row],[saldo_mora_30]]/Tabla1[[#This Row],[saldo_cartera]]</f>
        <v>1</v>
      </c>
      <c r="U25" t="str">
        <f>VLOOKUP(N25,asesores_ficticio!$A:$C,3,FALSE)</f>
        <v>Medellín</v>
      </c>
      <c r="V25" t="str">
        <f t="shared" si="0"/>
        <v>NO</v>
      </c>
    </row>
    <row r="26" spans="1:22" x14ac:dyDescent="0.3">
      <c r="A26" t="s">
        <v>66</v>
      </c>
      <c r="B26" t="s">
        <v>381</v>
      </c>
      <c r="C26" t="s">
        <v>16</v>
      </c>
      <c r="D26" s="1">
        <v>4689344</v>
      </c>
      <c r="E26" s="1">
        <v>-74002806</v>
      </c>
      <c r="F26" s="2">
        <v>45600</v>
      </c>
      <c r="G26" t="s">
        <v>382</v>
      </c>
      <c r="H26">
        <v>6000000</v>
      </c>
      <c r="I26">
        <v>803464</v>
      </c>
      <c r="J26">
        <v>0</v>
      </c>
      <c r="K26" t="s">
        <v>17</v>
      </c>
      <c r="L26">
        <v>3500000</v>
      </c>
      <c r="M26" t="s">
        <v>31</v>
      </c>
      <c r="N26" t="s">
        <v>57</v>
      </c>
      <c r="O26" s="3" t="s">
        <v>371</v>
      </c>
      <c r="P26" s="3">
        <v>54</v>
      </c>
      <c r="Q26" t="s">
        <v>372</v>
      </c>
      <c r="R26" t="s">
        <v>378</v>
      </c>
      <c r="S26">
        <f>IF(Tabla1[[#This Row],[dias_mora]]&gt;30,Tabla1[[#This Row],[saldo_cartera]],0)</f>
        <v>0</v>
      </c>
      <c r="T26">
        <f>Tabla1[[#This Row],[saldo_mora_30]]/Tabla1[[#This Row],[saldo_cartera]]</f>
        <v>0</v>
      </c>
      <c r="U26" t="str">
        <f>VLOOKUP(N26,asesores_ficticio!$A:$C,3,FALSE)</f>
        <v>Pereira</v>
      </c>
      <c r="V26" t="str">
        <f t="shared" si="0"/>
        <v>NO</v>
      </c>
    </row>
    <row r="27" spans="1:22" x14ac:dyDescent="0.3">
      <c r="A27" t="s">
        <v>67</v>
      </c>
      <c r="B27" t="s">
        <v>380</v>
      </c>
      <c r="C27" t="s">
        <v>21</v>
      </c>
      <c r="D27" s="1">
        <v>6240022</v>
      </c>
      <c r="E27" s="1">
        <v>-75654322</v>
      </c>
      <c r="F27" s="2">
        <v>45009</v>
      </c>
      <c r="G27" t="s">
        <v>382</v>
      </c>
      <c r="H27">
        <v>800000</v>
      </c>
      <c r="I27">
        <v>743820</v>
      </c>
      <c r="J27">
        <v>30</v>
      </c>
      <c r="K27" t="s">
        <v>37</v>
      </c>
      <c r="L27">
        <v>2000000</v>
      </c>
      <c r="M27" t="s">
        <v>18</v>
      </c>
      <c r="N27" t="s">
        <v>63</v>
      </c>
      <c r="O27" s="3" t="s">
        <v>371</v>
      </c>
      <c r="P27" s="3">
        <v>33</v>
      </c>
      <c r="Q27" t="s">
        <v>374</v>
      </c>
      <c r="R27" t="s">
        <v>373</v>
      </c>
      <c r="S27">
        <f>IF(Tabla1[[#This Row],[dias_mora]]&gt;30,Tabla1[[#This Row],[saldo_cartera]],0)</f>
        <v>0</v>
      </c>
      <c r="T27">
        <f>Tabla1[[#This Row],[saldo_mora_30]]/Tabla1[[#This Row],[saldo_cartera]]</f>
        <v>0</v>
      </c>
      <c r="U27" t="str">
        <f>VLOOKUP(N27,asesores_ficticio!$A:$C,3,FALSE)</f>
        <v>Bogotá</v>
      </c>
      <c r="V27" t="str">
        <f t="shared" si="0"/>
        <v>NO</v>
      </c>
    </row>
    <row r="28" spans="1:22" x14ac:dyDescent="0.3">
      <c r="A28" t="s">
        <v>68</v>
      </c>
      <c r="B28" t="s">
        <v>380</v>
      </c>
      <c r="C28" t="s">
        <v>21</v>
      </c>
      <c r="D28" s="1">
        <v>621788</v>
      </c>
      <c r="E28" s="1">
        <v>-75674905</v>
      </c>
      <c r="F28" s="2">
        <v>46183</v>
      </c>
      <c r="G28" t="s">
        <v>385</v>
      </c>
      <c r="H28">
        <v>6000000</v>
      </c>
      <c r="I28">
        <v>797495</v>
      </c>
      <c r="J28">
        <v>0</v>
      </c>
      <c r="K28" t="s">
        <v>22</v>
      </c>
      <c r="L28">
        <v>1300000</v>
      </c>
      <c r="M28" t="s">
        <v>50</v>
      </c>
      <c r="N28" t="s">
        <v>29</v>
      </c>
      <c r="O28" s="3" t="s">
        <v>371</v>
      </c>
      <c r="P28" s="3">
        <v>38</v>
      </c>
      <c r="Q28" t="s">
        <v>372</v>
      </c>
      <c r="R28" t="s">
        <v>376</v>
      </c>
      <c r="S28">
        <f>IF(Tabla1[[#This Row],[dias_mora]]&gt;30,Tabla1[[#This Row],[saldo_cartera]],0)</f>
        <v>0</v>
      </c>
      <c r="T28">
        <f>Tabla1[[#This Row],[saldo_mora_30]]/Tabla1[[#This Row],[saldo_cartera]]</f>
        <v>0</v>
      </c>
      <c r="U28" t="str">
        <f>VLOOKUP(N28,asesores_ficticio!$A:$C,3,FALSE)</f>
        <v>Rionegro</v>
      </c>
      <c r="V28" t="str">
        <f t="shared" si="0"/>
        <v>NO</v>
      </c>
    </row>
    <row r="29" spans="1:22" x14ac:dyDescent="0.3">
      <c r="A29" t="s">
        <v>69</v>
      </c>
      <c r="B29" t="s">
        <v>70</v>
      </c>
      <c r="C29" t="s">
        <v>71</v>
      </c>
      <c r="D29" s="1">
        <v>3424122</v>
      </c>
      <c r="E29" s="1">
        <v>-76473704</v>
      </c>
      <c r="F29" s="2">
        <v>45661</v>
      </c>
      <c r="G29" t="s">
        <v>382</v>
      </c>
      <c r="H29">
        <v>6000000</v>
      </c>
      <c r="I29">
        <v>2023537</v>
      </c>
      <c r="J29">
        <v>5</v>
      </c>
      <c r="K29" t="s">
        <v>22</v>
      </c>
      <c r="L29">
        <v>2000000</v>
      </c>
      <c r="M29" t="s">
        <v>28</v>
      </c>
      <c r="N29" t="s">
        <v>63</v>
      </c>
      <c r="O29" s="3" t="s">
        <v>371</v>
      </c>
      <c r="P29" s="3">
        <v>51</v>
      </c>
      <c r="Q29" t="s">
        <v>375</v>
      </c>
      <c r="R29" t="s">
        <v>373</v>
      </c>
      <c r="S29">
        <f>IF(Tabla1[[#This Row],[dias_mora]]&gt;30,Tabla1[[#This Row],[saldo_cartera]],0)</f>
        <v>0</v>
      </c>
      <c r="T29">
        <f>Tabla1[[#This Row],[saldo_mora_30]]/Tabla1[[#This Row],[saldo_cartera]]</f>
        <v>0</v>
      </c>
      <c r="U29" t="str">
        <f>VLOOKUP(N29,asesores_ficticio!$A:$C,3,FALSE)</f>
        <v>Bogotá</v>
      </c>
      <c r="V29" t="str">
        <f t="shared" si="0"/>
        <v>NO</v>
      </c>
    </row>
    <row r="30" spans="1:22" x14ac:dyDescent="0.3">
      <c r="A30" t="s">
        <v>72</v>
      </c>
      <c r="B30" t="s">
        <v>379</v>
      </c>
      <c r="C30" t="s">
        <v>21</v>
      </c>
      <c r="D30" s="1">
        <v>6181544</v>
      </c>
      <c r="E30" s="1">
        <v>-7559167</v>
      </c>
      <c r="F30" s="2">
        <v>45126</v>
      </c>
      <c r="G30" t="s">
        <v>385</v>
      </c>
      <c r="H30">
        <v>4000000</v>
      </c>
      <c r="I30">
        <v>3073856</v>
      </c>
      <c r="J30">
        <v>0</v>
      </c>
      <c r="K30" t="s">
        <v>27</v>
      </c>
      <c r="L30">
        <v>2800000</v>
      </c>
      <c r="M30" t="s">
        <v>50</v>
      </c>
      <c r="N30" t="s">
        <v>32</v>
      </c>
      <c r="O30" s="3" t="s">
        <v>371</v>
      </c>
      <c r="P30" s="3">
        <v>21</v>
      </c>
      <c r="Q30" t="s">
        <v>377</v>
      </c>
      <c r="R30" t="s">
        <v>373</v>
      </c>
      <c r="S30">
        <f>IF(Tabla1[[#This Row],[dias_mora]]&gt;30,Tabla1[[#This Row],[saldo_cartera]],0)</f>
        <v>0</v>
      </c>
      <c r="T30">
        <f>Tabla1[[#This Row],[saldo_mora_30]]/Tabla1[[#This Row],[saldo_cartera]]</f>
        <v>0</v>
      </c>
      <c r="U30" t="str">
        <f>VLOOKUP(N30,asesores_ficticio!$A:$C,3,FALSE)</f>
        <v>Cali</v>
      </c>
      <c r="V30" t="str">
        <f t="shared" si="0"/>
        <v>NO</v>
      </c>
    </row>
    <row r="31" spans="1:22" x14ac:dyDescent="0.3">
      <c r="A31" t="s">
        <v>73</v>
      </c>
      <c r="B31" t="s">
        <v>379</v>
      </c>
      <c r="C31" t="s">
        <v>21</v>
      </c>
      <c r="D31" s="1">
        <v>6247387</v>
      </c>
      <c r="E31" s="1">
        <v>-75532158</v>
      </c>
      <c r="F31" s="2">
        <v>45457</v>
      </c>
      <c r="G31" t="s">
        <v>384</v>
      </c>
      <c r="H31">
        <v>4000000</v>
      </c>
      <c r="I31">
        <v>2846062</v>
      </c>
      <c r="J31">
        <v>15</v>
      </c>
      <c r="K31" t="s">
        <v>27</v>
      </c>
      <c r="L31">
        <v>3500000</v>
      </c>
      <c r="M31" t="s">
        <v>28</v>
      </c>
      <c r="N31" t="s">
        <v>24</v>
      </c>
      <c r="O31" s="3" t="s">
        <v>370</v>
      </c>
      <c r="P31" s="3">
        <v>61</v>
      </c>
      <c r="Q31" t="s">
        <v>375</v>
      </c>
      <c r="R31" t="s">
        <v>378</v>
      </c>
      <c r="S31">
        <f>IF(Tabla1[[#This Row],[dias_mora]]&gt;30,Tabla1[[#This Row],[saldo_cartera]],0)</f>
        <v>0</v>
      </c>
      <c r="T31">
        <f>Tabla1[[#This Row],[saldo_mora_30]]/Tabla1[[#This Row],[saldo_cartera]]</f>
        <v>0</v>
      </c>
      <c r="U31" t="str">
        <f>VLOOKUP(N31,asesores_ficticio!$A:$C,3,FALSE)</f>
        <v>Soacha</v>
      </c>
      <c r="V31" t="str">
        <f t="shared" si="0"/>
        <v>NO</v>
      </c>
    </row>
    <row r="32" spans="1:22" x14ac:dyDescent="0.3">
      <c r="A32" t="s">
        <v>74</v>
      </c>
      <c r="B32" t="s">
        <v>46</v>
      </c>
      <c r="C32" t="s">
        <v>21</v>
      </c>
      <c r="D32" s="1">
        <v>6372461</v>
      </c>
      <c r="E32" s="1">
        <v>-75589948</v>
      </c>
      <c r="F32" s="2">
        <v>45905</v>
      </c>
      <c r="G32" t="s">
        <v>385</v>
      </c>
      <c r="H32">
        <v>1200000</v>
      </c>
      <c r="I32">
        <v>800231</v>
      </c>
      <c r="J32">
        <v>0</v>
      </c>
      <c r="K32" t="s">
        <v>37</v>
      </c>
      <c r="L32">
        <v>3500000</v>
      </c>
      <c r="M32" t="s">
        <v>31</v>
      </c>
      <c r="N32" t="s">
        <v>42</v>
      </c>
      <c r="O32" s="3" t="s">
        <v>370</v>
      </c>
      <c r="P32" s="3">
        <v>35</v>
      </c>
      <c r="Q32" t="s">
        <v>377</v>
      </c>
      <c r="R32" t="s">
        <v>378</v>
      </c>
      <c r="S32">
        <f>IF(Tabla1[[#This Row],[dias_mora]]&gt;30,Tabla1[[#This Row],[saldo_cartera]],0)</f>
        <v>0</v>
      </c>
      <c r="T32">
        <f>Tabla1[[#This Row],[saldo_mora_30]]/Tabla1[[#This Row],[saldo_cartera]]</f>
        <v>0</v>
      </c>
      <c r="U32" t="str">
        <f>VLOOKUP(N32,asesores_ficticio!$A:$C,3,FALSE)</f>
        <v>Itagüí</v>
      </c>
      <c r="V32" t="str">
        <f t="shared" si="0"/>
        <v>NO</v>
      </c>
    </row>
    <row r="33" spans="1:22" x14ac:dyDescent="0.3">
      <c r="A33" t="s">
        <v>75</v>
      </c>
      <c r="B33" t="s">
        <v>76</v>
      </c>
      <c r="C33" t="s">
        <v>77</v>
      </c>
      <c r="D33" s="1">
        <v>4825357</v>
      </c>
      <c r="E33" s="1">
        <v>-75709628</v>
      </c>
      <c r="F33" s="2">
        <v>45884</v>
      </c>
      <c r="G33" t="s">
        <v>383</v>
      </c>
      <c r="H33">
        <v>6000000</v>
      </c>
      <c r="I33">
        <v>602070</v>
      </c>
      <c r="J33">
        <v>0</v>
      </c>
      <c r="K33" t="s">
        <v>22</v>
      </c>
      <c r="L33">
        <v>2000000</v>
      </c>
      <c r="M33" t="s">
        <v>28</v>
      </c>
      <c r="N33" t="s">
        <v>38</v>
      </c>
      <c r="O33" s="3" t="s">
        <v>371</v>
      </c>
      <c r="P33" s="3">
        <v>60</v>
      </c>
      <c r="Q33" t="s">
        <v>372</v>
      </c>
      <c r="R33" t="s">
        <v>373</v>
      </c>
      <c r="S33">
        <f>IF(Tabla1[[#This Row],[dias_mora]]&gt;30,Tabla1[[#This Row],[saldo_cartera]],0)</f>
        <v>0</v>
      </c>
      <c r="T33">
        <f>Tabla1[[#This Row],[saldo_mora_30]]/Tabla1[[#This Row],[saldo_cartera]]</f>
        <v>0</v>
      </c>
      <c r="U33" t="str">
        <f>VLOOKUP(N33,asesores_ficticio!$A:$C,3,FALSE)</f>
        <v>Barranquilla</v>
      </c>
      <c r="V33" t="str">
        <f t="shared" si="0"/>
        <v>NO</v>
      </c>
    </row>
    <row r="34" spans="1:22" x14ac:dyDescent="0.3">
      <c r="A34" t="s">
        <v>78</v>
      </c>
      <c r="B34" t="s">
        <v>380</v>
      </c>
      <c r="C34" t="s">
        <v>21</v>
      </c>
      <c r="D34" s="1">
        <v>6197316</v>
      </c>
      <c r="E34" s="1">
        <v>-75646794</v>
      </c>
      <c r="F34" s="2">
        <v>45773</v>
      </c>
      <c r="G34" t="s">
        <v>385</v>
      </c>
      <c r="H34">
        <v>4000000</v>
      </c>
      <c r="I34">
        <v>2551999</v>
      </c>
      <c r="J34">
        <v>0</v>
      </c>
      <c r="K34" t="s">
        <v>22</v>
      </c>
      <c r="L34">
        <v>1300000</v>
      </c>
      <c r="M34" t="s">
        <v>50</v>
      </c>
      <c r="N34" t="s">
        <v>61</v>
      </c>
      <c r="O34" s="3" t="s">
        <v>371</v>
      </c>
      <c r="P34" s="3">
        <v>22</v>
      </c>
      <c r="Q34" t="s">
        <v>377</v>
      </c>
      <c r="R34" t="s">
        <v>376</v>
      </c>
      <c r="S34">
        <f>IF(Tabla1[[#This Row],[dias_mora]]&gt;30,Tabla1[[#This Row],[saldo_cartera]],0)</f>
        <v>0</v>
      </c>
      <c r="T34">
        <f>Tabla1[[#This Row],[saldo_mora_30]]/Tabla1[[#This Row],[saldo_cartera]]</f>
        <v>0</v>
      </c>
      <c r="U34" t="str">
        <f>VLOOKUP(N34,asesores_ficticio!$A:$C,3,FALSE)</f>
        <v>Medellín</v>
      </c>
      <c r="V34" t="str">
        <f t="shared" si="0"/>
        <v>NO</v>
      </c>
    </row>
    <row r="35" spans="1:22" x14ac:dyDescent="0.3">
      <c r="A35" t="s">
        <v>79</v>
      </c>
      <c r="B35" t="s">
        <v>26</v>
      </c>
      <c r="C35" t="s">
        <v>21</v>
      </c>
      <c r="D35" s="1">
        <v>623223</v>
      </c>
      <c r="E35" s="1">
        <v>-75356796</v>
      </c>
      <c r="F35" s="2">
        <v>45649</v>
      </c>
      <c r="G35" t="s">
        <v>383</v>
      </c>
      <c r="H35">
        <v>6000000</v>
      </c>
      <c r="I35">
        <v>971424</v>
      </c>
      <c r="J35">
        <v>0</v>
      </c>
      <c r="K35" t="s">
        <v>37</v>
      </c>
      <c r="L35">
        <v>3500000</v>
      </c>
      <c r="M35" t="s">
        <v>31</v>
      </c>
      <c r="N35" t="s">
        <v>29</v>
      </c>
      <c r="O35" s="3" t="s">
        <v>371</v>
      </c>
      <c r="P35" s="3">
        <v>22</v>
      </c>
      <c r="Q35" t="s">
        <v>372</v>
      </c>
      <c r="R35" t="s">
        <v>378</v>
      </c>
      <c r="S35">
        <f>IF(Tabla1[[#This Row],[dias_mora]]&gt;30,Tabla1[[#This Row],[saldo_cartera]],0)</f>
        <v>0</v>
      </c>
      <c r="T35">
        <f>Tabla1[[#This Row],[saldo_mora_30]]/Tabla1[[#This Row],[saldo_cartera]]</f>
        <v>0</v>
      </c>
      <c r="U35" t="str">
        <f>VLOOKUP(N35,asesores_ficticio!$A:$C,3,FALSE)</f>
        <v>Rionegro</v>
      </c>
      <c r="V35" t="str">
        <f t="shared" si="0"/>
        <v>SI</v>
      </c>
    </row>
    <row r="36" spans="1:22" x14ac:dyDescent="0.3">
      <c r="A36" t="s">
        <v>80</v>
      </c>
      <c r="B36" t="s">
        <v>380</v>
      </c>
      <c r="C36" t="s">
        <v>21</v>
      </c>
      <c r="D36" s="1">
        <v>6196869</v>
      </c>
      <c r="E36" s="1">
        <v>-75691313</v>
      </c>
      <c r="F36" s="2">
        <v>45377</v>
      </c>
      <c r="G36" t="s">
        <v>383</v>
      </c>
      <c r="H36">
        <v>6000000</v>
      </c>
      <c r="I36">
        <v>4988247</v>
      </c>
      <c r="J36">
        <v>45</v>
      </c>
      <c r="K36" t="s">
        <v>48</v>
      </c>
      <c r="L36">
        <v>2000000</v>
      </c>
      <c r="M36" t="s">
        <v>28</v>
      </c>
      <c r="N36" t="s">
        <v>29</v>
      </c>
      <c r="O36" s="3" t="s">
        <v>370</v>
      </c>
      <c r="P36" s="3">
        <v>50</v>
      </c>
      <c r="Q36" t="s">
        <v>374</v>
      </c>
      <c r="R36" t="s">
        <v>373</v>
      </c>
      <c r="S36">
        <f>IF(Tabla1[[#This Row],[dias_mora]]&gt;30,Tabla1[[#This Row],[saldo_cartera]],0)</f>
        <v>4988247</v>
      </c>
      <c r="T36">
        <f>Tabla1[[#This Row],[saldo_mora_30]]/Tabla1[[#This Row],[saldo_cartera]]</f>
        <v>1</v>
      </c>
      <c r="U36" t="str">
        <f>VLOOKUP(N36,asesores_ficticio!$A:$C,3,FALSE)</f>
        <v>Rionegro</v>
      </c>
      <c r="V36" t="str">
        <f t="shared" si="0"/>
        <v>NO</v>
      </c>
    </row>
    <row r="37" spans="1:22" x14ac:dyDescent="0.3">
      <c r="A37" t="s">
        <v>81</v>
      </c>
      <c r="B37" t="s">
        <v>46</v>
      </c>
      <c r="C37" t="s">
        <v>21</v>
      </c>
      <c r="D37" s="1">
        <v>6330334</v>
      </c>
      <c r="E37" s="1">
        <v>-75509773</v>
      </c>
      <c r="F37" s="2">
        <v>46322</v>
      </c>
      <c r="G37" t="s">
        <v>383</v>
      </c>
      <c r="H37">
        <v>4000000</v>
      </c>
      <c r="I37">
        <v>2205848</v>
      </c>
      <c r="J37">
        <v>0</v>
      </c>
      <c r="K37" t="s">
        <v>17</v>
      </c>
      <c r="L37">
        <v>1600000</v>
      </c>
      <c r="M37" t="s">
        <v>31</v>
      </c>
      <c r="N37" t="s">
        <v>42</v>
      </c>
      <c r="O37" s="3" t="s">
        <v>370</v>
      </c>
      <c r="P37" s="3">
        <v>64</v>
      </c>
      <c r="Q37" t="s">
        <v>377</v>
      </c>
      <c r="R37" t="s">
        <v>373</v>
      </c>
      <c r="S37">
        <f>IF(Tabla1[[#This Row],[dias_mora]]&gt;30,Tabla1[[#This Row],[saldo_cartera]],0)</f>
        <v>0</v>
      </c>
      <c r="T37">
        <f>Tabla1[[#This Row],[saldo_mora_30]]/Tabla1[[#This Row],[saldo_cartera]]</f>
        <v>0</v>
      </c>
      <c r="U37" t="str">
        <f>VLOOKUP(N37,asesores_ficticio!$A:$C,3,FALSE)</f>
        <v>Itagüí</v>
      </c>
      <c r="V37" t="str">
        <f t="shared" si="0"/>
        <v>NO</v>
      </c>
    </row>
    <row r="38" spans="1:22" x14ac:dyDescent="0.3">
      <c r="A38" t="s">
        <v>82</v>
      </c>
      <c r="B38" t="s">
        <v>34</v>
      </c>
      <c r="C38" t="s">
        <v>386</v>
      </c>
      <c r="D38" s="1">
        <v>10955911</v>
      </c>
      <c r="E38" s="1">
        <v>-74756116</v>
      </c>
      <c r="F38" s="2">
        <v>46334</v>
      </c>
      <c r="G38" t="s">
        <v>382</v>
      </c>
      <c r="H38">
        <v>6000000</v>
      </c>
      <c r="I38">
        <v>3852073</v>
      </c>
      <c r="J38">
        <v>15</v>
      </c>
      <c r="K38" t="s">
        <v>37</v>
      </c>
      <c r="L38">
        <v>2800000</v>
      </c>
      <c r="M38" t="s">
        <v>50</v>
      </c>
      <c r="N38" t="s">
        <v>63</v>
      </c>
      <c r="O38" s="3" t="s">
        <v>370</v>
      </c>
      <c r="P38" s="3">
        <v>37</v>
      </c>
      <c r="Q38" t="s">
        <v>375</v>
      </c>
      <c r="R38" t="s">
        <v>373</v>
      </c>
      <c r="S38">
        <f>IF(Tabla1[[#This Row],[dias_mora]]&gt;30,Tabla1[[#This Row],[saldo_cartera]],0)</f>
        <v>0</v>
      </c>
      <c r="T38">
        <f>Tabla1[[#This Row],[saldo_mora_30]]/Tabla1[[#This Row],[saldo_cartera]]</f>
        <v>0</v>
      </c>
      <c r="U38" t="str">
        <f>VLOOKUP(N38,asesores_ficticio!$A:$C,3,FALSE)</f>
        <v>Bogotá</v>
      </c>
      <c r="V38" t="str">
        <f t="shared" si="0"/>
        <v>NO</v>
      </c>
    </row>
    <row r="39" spans="1:22" x14ac:dyDescent="0.3">
      <c r="A39" t="s">
        <v>83</v>
      </c>
      <c r="B39" t="s">
        <v>26</v>
      </c>
      <c r="C39" t="s">
        <v>21</v>
      </c>
      <c r="D39" s="1">
        <v>6118274</v>
      </c>
      <c r="E39" s="1">
        <v>-75403446</v>
      </c>
      <c r="F39" s="2">
        <v>45633</v>
      </c>
      <c r="G39" t="s">
        <v>384</v>
      </c>
      <c r="H39">
        <v>2500000</v>
      </c>
      <c r="I39">
        <v>421228</v>
      </c>
      <c r="J39">
        <v>0</v>
      </c>
      <c r="K39" t="s">
        <v>37</v>
      </c>
      <c r="L39">
        <v>2000000</v>
      </c>
      <c r="M39" t="s">
        <v>31</v>
      </c>
      <c r="N39" t="s">
        <v>24</v>
      </c>
      <c r="O39" s="3" t="s">
        <v>371</v>
      </c>
      <c r="P39" s="3">
        <v>47</v>
      </c>
      <c r="Q39" t="s">
        <v>372</v>
      </c>
      <c r="R39" t="s">
        <v>373</v>
      </c>
      <c r="S39">
        <f>IF(Tabla1[[#This Row],[dias_mora]]&gt;30,Tabla1[[#This Row],[saldo_cartera]],0)</f>
        <v>0</v>
      </c>
      <c r="T39">
        <f>Tabla1[[#This Row],[saldo_mora_30]]/Tabla1[[#This Row],[saldo_cartera]]</f>
        <v>0</v>
      </c>
      <c r="U39" t="str">
        <f>VLOOKUP(N39,asesores_ficticio!$A:$C,3,FALSE)</f>
        <v>Soacha</v>
      </c>
      <c r="V39" t="str">
        <f t="shared" si="0"/>
        <v>NO</v>
      </c>
    </row>
    <row r="40" spans="1:22" x14ac:dyDescent="0.3">
      <c r="A40" t="s">
        <v>84</v>
      </c>
      <c r="B40" t="s">
        <v>40</v>
      </c>
      <c r="C40" t="s">
        <v>41</v>
      </c>
      <c r="D40" s="1">
        <v>7113848</v>
      </c>
      <c r="E40" s="1">
        <v>-73192737</v>
      </c>
      <c r="F40" s="2">
        <v>45212</v>
      </c>
      <c r="G40" t="s">
        <v>383</v>
      </c>
      <c r="H40">
        <v>6000000</v>
      </c>
      <c r="I40">
        <v>2742732</v>
      </c>
      <c r="J40">
        <v>45</v>
      </c>
      <c r="K40" t="s">
        <v>48</v>
      </c>
      <c r="L40">
        <v>2800000</v>
      </c>
      <c r="M40" t="s">
        <v>23</v>
      </c>
      <c r="N40" t="s">
        <v>63</v>
      </c>
      <c r="O40" s="3" t="s">
        <v>370</v>
      </c>
      <c r="P40" s="3">
        <v>35</v>
      </c>
      <c r="Q40" t="s">
        <v>374</v>
      </c>
      <c r="R40" t="s">
        <v>373</v>
      </c>
      <c r="S40">
        <f>IF(Tabla1[[#This Row],[dias_mora]]&gt;30,Tabla1[[#This Row],[saldo_cartera]],0)</f>
        <v>2742732</v>
      </c>
      <c r="T40">
        <f>Tabla1[[#This Row],[saldo_mora_30]]/Tabla1[[#This Row],[saldo_cartera]]</f>
        <v>1</v>
      </c>
      <c r="U40" t="str">
        <f>VLOOKUP(N40,asesores_ficticio!$A:$C,3,FALSE)</f>
        <v>Bogotá</v>
      </c>
      <c r="V40" t="str">
        <f t="shared" si="0"/>
        <v>NO</v>
      </c>
    </row>
    <row r="41" spans="1:22" x14ac:dyDescent="0.3">
      <c r="A41" t="s">
        <v>85</v>
      </c>
      <c r="B41" t="s">
        <v>70</v>
      </c>
      <c r="C41" t="s">
        <v>71</v>
      </c>
      <c r="D41" s="1">
        <v>3508152</v>
      </c>
      <c r="E41" s="1">
        <v>-76459451</v>
      </c>
      <c r="F41" s="2">
        <v>45512</v>
      </c>
      <c r="G41" t="s">
        <v>382</v>
      </c>
      <c r="H41">
        <v>1800000</v>
      </c>
      <c r="I41">
        <v>1003477</v>
      </c>
      <c r="J41">
        <v>15</v>
      </c>
      <c r="K41" t="s">
        <v>37</v>
      </c>
      <c r="L41">
        <v>2800000</v>
      </c>
      <c r="M41" t="s">
        <v>31</v>
      </c>
      <c r="N41" t="s">
        <v>61</v>
      </c>
      <c r="O41" s="3" t="s">
        <v>370</v>
      </c>
      <c r="P41" s="3">
        <v>22</v>
      </c>
      <c r="Q41" t="s">
        <v>375</v>
      </c>
      <c r="R41" t="s">
        <v>373</v>
      </c>
      <c r="S41">
        <f>IF(Tabla1[[#This Row],[dias_mora]]&gt;30,Tabla1[[#This Row],[saldo_cartera]],0)</f>
        <v>0</v>
      </c>
      <c r="T41">
        <f>Tabla1[[#This Row],[saldo_mora_30]]/Tabla1[[#This Row],[saldo_cartera]]</f>
        <v>0</v>
      </c>
      <c r="U41" t="str">
        <f>VLOOKUP(N41,asesores_ficticio!$A:$C,3,FALSE)</f>
        <v>Medellín</v>
      </c>
      <c r="V41" t="str">
        <f t="shared" si="0"/>
        <v>NO</v>
      </c>
    </row>
    <row r="42" spans="1:22" x14ac:dyDescent="0.3">
      <c r="A42" t="s">
        <v>86</v>
      </c>
      <c r="B42" t="s">
        <v>70</v>
      </c>
      <c r="C42" t="s">
        <v>71</v>
      </c>
      <c r="D42" s="1">
        <v>3425381</v>
      </c>
      <c r="E42" s="1">
        <v>-76503337</v>
      </c>
      <c r="F42" s="2">
        <v>45126</v>
      </c>
      <c r="G42" t="s">
        <v>384</v>
      </c>
      <c r="H42">
        <v>1800000</v>
      </c>
      <c r="I42">
        <v>1287998</v>
      </c>
      <c r="J42">
        <v>30</v>
      </c>
      <c r="K42" t="s">
        <v>48</v>
      </c>
      <c r="L42">
        <v>1300000</v>
      </c>
      <c r="M42" t="s">
        <v>31</v>
      </c>
      <c r="N42" t="s">
        <v>42</v>
      </c>
      <c r="O42" s="3" t="s">
        <v>370</v>
      </c>
      <c r="P42" s="3">
        <v>36</v>
      </c>
      <c r="Q42" t="s">
        <v>374</v>
      </c>
      <c r="R42" t="s">
        <v>376</v>
      </c>
      <c r="S42">
        <f>IF(Tabla1[[#This Row],[dias_mora]]&gt;30,Tabla1[[#This Row],[saldo_cartera]],0)</f>
        <v>0</v>
      </c>
      <c r="T42">
        <f>Tabla1[[#This Row],[saldo_mora_30]]/Tabla1[[#This Row],[saldo_cartera]]</f>
        <v>0</v>
      </c>
      <c r="U42" t="str">
        <f>VLOOKUP(N42,asesores_ficticio!$A:$C,3,FALSE)</f>
        <v>Itagüí</v>
      </c>
      <c r="V42" t="str">
        <f t="shared" si="0"/>
        <v>NO</v>
      </c>
    </row>
    <row r="43" spans="1:22" x14ac:dyDescent="0.3">
      <c r="A43" t="s">
        <v>87</v>
      </c>
      <c r="B43" t="s">
        <v>34</v>
      </c>
      <c r="C43" t="s">
        <v>386</v>
      </c>
      <c r="D43" s="1">
        <v>10912977</v>
      </c>
      <c r="E43" s="1">
        <v>-74834775</v>
      </c>
      <c r="F43" s="2">
        <v>45847</v>
      </c>
      <c r="G43" t="s">
        <v>384</v>
      </c>
      <c r="H43">
        <v>1200000</v>
      </c>
      <c r="I43">
        <v>335893</v>
      </c>
      <c r="J43">
        <v>0</v>
      </c>
      <c r="K43" t="s">
        <v>37</v>
      </c>
      <c r="L43">
        <v>2000000</v>
      </c>
      <c r="M43" t="s">
        <v>50</v>
      </c>
      <c r="N43" t="s">
        <v>35</v>
      </c>
      <c r="O43" s="3" t="s">
        <v>371</v>
      </c>
      <c r="P43" s="3">
        <v>34</v>
      </c>
      <c r="Q43" t="s">
        <v>372</v>
      </c>
      <c r="R43" t="s">
        <v>373</v>
      </c>
      <c r="S43">
        <f>IF(Tabla1[[#This Row],[dias_mora]]&gt;30,Tabla1[[#This Row],[saldo_cartera]],0)</f>
        <v>0</v>
      </c>
      <c r="T43">
        <f>Tabla1[[#This Row],[saldo_mora_30]]/Tabla1[[#This Row],[saldo_cartera]]</f>
        <v>0</v>
      </c>
      <c r="U43" t="str">
        <f>VLOOKUP(N43,asesores_ficticio!$A:$C,3,FALSE)</f>
        <v>Bucaramanga</v>
      </c>
      <c r="V43" t="str">
        <f t="shared" si="0"/>
        <v>NO</v>
      </c>
    </row>
    <row r="44" spans="1:22" x14ac:dyDescent="0.3">
      <c r="A44" t="s">
        <v>88</v>
      </c>
      <c r="B44" t="s">
        <v>379</v>
      </c>
      <c r="C44" t="s">
        <v>21</v>
      </c>
      <c r="D44" s="1">
        <v>6324185</v>
      </c>
      <c r="E44" s="1">
        <v>-75605206</v>
      </c>
      <c r="F44" s="2">
        <v>45023</v>
      </c>
      <c r="G44" t="s">
        <v>384</v>
      </c>
      <c r="H44">
        <v>4000000</v>
      </c>
      <c r="I44">
        <v>633302</v>
      </c>
      <c r="J44">
        <v>90</v>
      </c>
      <c r="K44" t="s">
        <v>17</v>
      </c>
      <c r="L44">
        <v>900000</v>
      </c>
      <c r="M44" t="s">
        <v>18</v>
      </c>
      <c r="N44" t="s">
        <v>29</v>
      </c>
      <c r="O44" s="3" t="s">
        <v>371</v>
      </c>
      <c r="P44" s="3">
        <v>23</v>
      </c>
      <c r="Q44" t="s">
        <v>374</v>
      </c>
      <c r="R44" t="s">
        <v>376</v>
      </c>
      <c r="S44">
        <f>IF(Tabla1[[#This Row],[dias_mora]]&gt;30,Tabla1[[#This Row],[saldo_cartera]],0)</f>
        <v>633302</v>
      </c>
      <c r="T44">
        <f>Tabla1[[#This Row],[saldo_mora_30]]/Tabla1[[#This Row],[saldo_cartera]]</f>
        <v>1</v>
      </c>
      <c r="U44" t="str">
        <f>VLOOKUP(N44,asesores_ficticio!$A:$C,3,FALSE)</f>
        <v>Rionegro</v>
      </c>
      <c r="V44" t="str">
        <f t="shared" si="0"/>
        <v>NO</v>
      </c>
    </row>
    <row r="45" spans="1:22" x14ac:dyDescent="0.3">
      <c r="A45" t="s">
        <v>89</v>
      </c>
      <c r="B45" t="s">
        <v>380</v>
      </c>
      <c r="C45" t="s">
        <v>21</v>
      </c>
      <c r="D45" s="1">
        <v>616767</v>
      </c>
      <c r="E45" s="1">
        <v>-75673898</v>
      </c>
      <c r="F45" s="2">
        <v>45585</v>
      </c>
      <c r="G45" t="s">
        <v>384</v>
      </c>
      <c r="H45">
        <v>800000</v>
      </c>
      <c r="I45">
        <v>396223</v>
      </c>
      <c r="J45">
        <v>0</v>
      </c>
      <c r="K45" t="s">
        <v>22</v>
      </c>
      <c r="L45">
        <v>1600000</v>
      </c>
      <c r="M45" t="s">
        <v>23</v>
      </c>
      <c r="N45" t="s">
        <v>19</v>
      </c>
      <c r="O45" s="3" t="s">
        <v>370</v>
      </c>
      <c r="P45" s="3">
        <v>20</v>
      </c>
      <c r="Q45" t="s">
        <v>372</v>
      </c>
      <c r="R45" t="s">
        <v>373</v>
      </c>
      <c r="S45">
        <f>IF(Tabla1[[#This Row],[dias_mora]]&gt;30,Tabla1[[#This Row],[saldo_cartera]],0)</f>
        <v>0</v>
      </c>
      <c r="T45">
        <f>Tabla1[[#This Row],[saldo_mora_30]]/Tabla1[[#This Row],[saldo_cartera]]</f>
        <v>0</v>
      </c>
      <c r="U45" t="str">
        <f>VLOOKUP(N45,asesores_ficticio!$A:$C,3,FALSE)</f>
        <v>Bello</v>
      </c>
      <c r="V45" t="str">
        <f t="shared" si="0"/>
        <v>NO</v>
      </c>
    </row>
    <row r="46" spans="1:22" x14ac:dyDescent="0.3">
      <c r="A46" t="s">
        <v>90</v>
      </c>
      <c r="B46" t="s">
        <v>76</v>
      </c>
      <c r="C46" t="s">
        <v>77</v>
      </c>
      <c r="D46" s="1">
        <v>4738409</v>
      </c>
      <c r="E46" s="1">
        <v>-75724687</v>
      </c>
      <c r="F46" s="2">
        <v>45341</v>
      </c>
      <c r="G46" t="s">
        <v>385</v>
      </c>
      <c r="H46">
        <v>4000000</v>
      </c>
      <c r="I46">
        <v>3487289</v>
      </c>
      <c r="J46">
        <v>0</v>
      </c>
      <c r="K46" t="s">
        <v>48</v>
      </c>
      <c r="L46">
        <v>3500000</v>
      </c>
      <c r="M46" t="s">
        <v>23</v>
      </c>
      <c r="N46" t="s">
        <v>57</v>
      </c>
      <c r="O46" s="3" t="s">
        <v>370</v>
      </c>
      <c r="P46" s="3">
        <v>49</v>
      </c>
      <c r="Q46" t="s">
        <v>377</v>
      </c>
      <c r="R46" t="s">
        <v>378</v>
      </c>
      <c r="S46">
        <f>IF(Tabla1[[#This Row],[dias_mora]]&gt;30,Tabla1[[#This Row],[saldo_cartera]],0)</f>
        <v>0</v>
      </c>
      <c r="T46">
        <f>Tabla1[[#This Row],[saldo_mora_30]]/Tabla1[[#This Row],[saldo_cartera]]</f>
        <v>0</v>
      </c>
      <c r="U46" t="str">
        <f>VLOOKUP(N46,asesores_ficticio!$A:$C,3,FALSE)</f>
        <v>Pereira</v>
      </c>
      <c r="V46" t="str">
        <f t="shared" si="0"/>
        <v>SI</v>
      </c>
    </row>
    <row r="47" spans="1:22" x14ac:dyDescent="0.3">
      <c r="A47" t="s">
        <v>91</v>
      </c>
      <c r="B47" t="s">
        <v>46</v>
      </c>
      <c r="C47" t="s">
        <v>21</v>
      </c>
      <c r="D47" s="1">
        <v>6384696</v>
      </c>
      <c r="E47" s="1">
        <v>-75547451</v>
      </c>
      <c r="F47" s="2">
        <v>45190</v>
      </c>
      <c r="G47" t="s">
        <v>382</v>
      </c>
      <c r="H47">
        <v>500000</v>
      </c>
      <c r="I47">
        <v>197562</v>
      </c>
      <c r="J47">
        <v>0</v>
      </c>
      <c r="K47" t="s">
        <v>48</v>
      </c>
      <c r="L47">
        <v>1600000</v>
      </c>
      <c r="M47" t="s">
        <v>31</v>
      </c>
      <c r="N47" t="s">
        <v>38</v>
      </c>
      <c r="O47" s="3" t="s">
        <v>371</v>
      </c>
      <c r="P47" s="3">
        <v>52</v>
      </c>
      <c r="Q47" t="s">
        <v>372</v>
      </c>
      <c r="R47" t="s">
        <v>373</v>
      </c>
      <c r="S47">
        <f>IF(Tabla1[[#This Row],[dias_mora]]&gt;30,Tabla1[[#This Row],[saldo_cartera]],0)</f>
        <v>0</v>
      </c>
      <c r="T47">
        <f>Tabla1[[#This Row],[saldo_mora_30]]/Tabla1[[#This Row],[saldo_cartera]]</f>
        <v>0</v>
      </c>
      <c r="U47" t="str">
        <f>VLOOKUP(N47,asesores_ficticio!$A:$C,3,FALSE)</f>
        <v>Barranquilla</v>
      </c>
      <c r="V47" t="str">
        <f t="shared" si="0"/>
        <v>NO</v>
      </c>
    </row>
    <row r="48" spans="1:22" x14ac:dyDescent="0.3">
      <c r="A48" t="s">
        <v>92</v>
      </c>
      <c r="B48" t="s">
        <v>46</v>
      </c>
      <c r="C48" t="s">
        <v>21</v>
      </c>
      <c r="D48" s="1">
        <v>6326664</v>
      </c>
      <c r="E48" s="1">
        <v>-7558005</v>
      </c>
      <c r="F48" s="2">
        <v>45956</v>
      </c>
      <c r="G48" t="s">
        <v>383</v>
      </c>
      <c r="H48">
        <v>6000000</v>
      </c>
      <c r="I48">
        <v>2944671</v>
      </c>
      <c r="J48">
        <v>0</v>
      </c>
      <c r="K48" t="s">
        <v>37</v>
      </c>
      <c r="L48">
        <v>1300000</v>
      </c>
      <c r="M48" t="s">
        <v>31</v>
      </c>
      <c r="N48" t="s">
        <v>57</v>
      </c>
      <c r="O48" s="3" t="s">
        <v>371</v>
      </c>
      <c r="P48" s="3">
        <v>35</v>
      </c>
      <c r="Q48" t="s">
        <v>372</v>
      </c>
      <c r="R48" t="s">
        <v>376</v>
      </c>
      <c r="S48">
        <f>IF(Tabla1[[#This Row],[dias_mora]]&gt;30,Tabla1[[#This Row],[saldo_cartera]],0)</f>
        <v>0</v>
      </c>
      <c r="T48">
        <f>Tabla1[[#This Row],[saldo_mora_30]]/Tabla1[[#This Row],[saldo_cartera]]</f>
        <v>0</v>
      </c>
      <c r="U48" t="str">
        <f>VLOOKUP(N48,asesores_ficticio!$A:$C,3,FALSE)</f>
        <v>Pereira</v>
      </c>
      <c r="V48" t="str">
        <f t="shared" si="0"/>
        <v>NO</v>
      </c>
    </row>
    <row r="49" spans="1:22" x14ac:dyDescent="0.3">
      <c r="A49" t="s">
        <v>93</v>
      </c>
      <c r="B49" t="s">
        <v>381</v>
      </c>
      <c r="C49" t="s">
        <v>16</v>
      </c>
      <c r="D49" s="1">
        <v>4682569</v>
      </c>
      <c r="E49" s="1">
        <v>-74112821</v>
      </c>
      <c r="F49" s="2">
        <v>46174</v>
      </c>
      <c r="G49" t="s">
        <v>383</v>
      </c>
      <c r="H49">
        <v>500000</v>
      </c>
      <c r="I49">
        <v>168545</v>
      </c>
      <c r="J49">
        <v>0</v>
      </c>
      <c r="K49" t="s">
        <v>27</v>
      </c>
      <c r="L49">
        <v>2000000</v>
      </c>
      <c r="M49" t="s">
        <v>18</v>
      </c>
      <c r="N49" t="s">
        <v>38</v>
      </c>
      <c r="O49" s="3" t="s">
        <v>371</v>
      </c>
      <c r="P49" s="3">
        <v>37</v>
      </c>
      <c r="Q49" t="s">
        <v>372</v>
      </c>
      <c r="R49" t="s">
        <v>373</v>
      </c>
      <c r="S49">
        <f>IF(Tabla1[[#This Row],[dias_mora]]&gt;30,Tabla1[[#This Row],[saldo_cartera]],0)</f>
        <v>0</v>
      </c>
      <c r="T49">
        <f>Tabla1[[#This Row],[saldo_mora_30]]/Tabla1[[#This Row],[saldo_cartera]]</f>
        <v>0</v>
      </c>
      <c r="U49" t="str">
        <f>VLOOKUP(N49,asesores_ficticio!$A:$C,3,FALSE)</f>
        <v>Barranquilla</v>
      </c>
      <c r="V49" t="str">
        <f t="shared" si="0"/>
        <v>NO</v>
      </c>
    </row>
    <row r="50" spans="1:22" x14ac:dyDescent="0.3">
      <c r="A50" t="s">
        <v>94</v>
      </c>
      <c r="B50" t="s">
        <v>26</v>
      </c>
      <c r="C50" t="s">
        <v>21</v>
      </c>
      <c r="D50" s="1">
        <v>6131572</v>
      </c>
      <c r="E50" s="1">
        <v>-75413264</v>
      </c>
      <c r="F50" s="2">
        <v>45176</v>
      </c>
      <c r="G50" t="s">
        <v>384</v>
      </c>
      <c r="H50">
        <v>1200000</v>
      </c>
      <c r="I50">
        <v>1017926</v>
      </c>
      <c r="J50">
        <v>15</v>
      </c>
      <c r="K50" t="s">
        <v>22</v>
      </c>
      <c r="L50">
        <v>1600000</v>
      </c>
      <c r="M50" t="s">
        <v>31</v>
      </c>
      <c r="N50" t="s">
        <v>38</v>
      </c>
      <c r="O50" s="3" t="s">
        <v>371</v>
      </c>
      <c r="P50" s="3">
        <v>56</v>
      </c>
      <c r="Q50" t="s">
        <v>375</v>
      </c>
      <c r="R50" t="s">
        <v>373</v>
      </c>
      <c r="S50">
        <f>IF(Tabla1[[#This Row],[dias_mora]]&gt;30,Tabla1[[#This Row],[saldo_cartera]],0)</f>
        <v>0</v>
      </c>
      <c r="T50">
        <f>Tabla1[[#This Row],[saldo_mora_30]]/Tabla1[[#This Row],[saldo_cartera]]</f>
        <v>0</v>
      </c>
      <c r="U50" t="str">
        <f>VLOOKUP(N50,asesores_ficticio!$A:$C,3,FALSE)</f>
        <v>Barranquilla</v>
      </c>
      <c r="V50" t="str">
        <f t="shared" si="0"/>
        <v>NO</v>
      </c>
    </row>
    <row r="51" spans="1:22" x14ac:dyDescent="0.3">
      <c r="A51" t="s">
        <v>95</v>
      </c>
      <c r="B51" t="s">
        <v>40</v>
      </c>
      <c r="C51" t="s">
        <v>41</v>
      </c>
      <c r="D51" s="1">
        <v>7160606</v>
      </c>
      <c r="E51" s="1">
        <v>-73092203</v>
      </c>
      <c r="F51" s="2">
        <v>45054</v>
      </c>
      <c r="G51" t="s">
        <v>383</v>
      </c>
      <c r="H51">
        <v>4000000</v>
      </c>
      <c r="I51">
        <v>2820264</v>
      </c>
      <c r="J51">
        <v>0</v>
      </c>
      <c r="K51" t="s">
        <v>22</v>
      </c>
      <c r="L51">
        <v>900000</v>
      </c>
      <c r="M51" t="s">
        <v>23</v>
      </c>
      <c r="N51" t="s">
        <v>57</v>
      </c>
      <c r="O51" s="3" t="s">
        <v>371</v>
      </c>
      <c r="P51" s="3">
        <v>30</v>
      </c>
      <c r="Q51" t="s">
        <v>377</v>
      </c>
      <c r="R51" t="s">
        <v>376</v>
      </c>
      <c r="S51">
        <f>IF(Tabla1[[#This Row],[dias_mora]]&gt;30,Tabla1[[#This Row],[saldo_cartera]],0)</f>
        <v>0</v>
      </c>
      <c r="T51">
        <f>Tabla1[[#This Row],[saldo_mora_30]]/Tabla1[[#This Row],[saldo_cartera]]</f>
        <v>0</v>
      </c>
      <c r="U51" t="str">
        <f>VLOOKUP(N51,asesores_ficticio!$A:$C,3,FALSE)</f>
        <v>Pereira</v>
      </c>
      <c r="V51" t="str">
        <f t="shared" si="0"/>
        <v>NO</v>
      </c>
    </row>
    <row r="52" spans="1:22" x14ac:dyDescent="0.3">
      <c r="A52" t="s">
        <v>96</v>
      </c>
      <c r="B52" t="s">
        <v>15</v>
      </c>
      <c r="C52" t="s">
        <v>16</v>
      </c>
      <c r="D52" s="1">
        <v>4575022</v>
      </c>
      <c r="E52" s="1">
        <v>-74211652</v>
      </c>
      <c r="F52" s="2">
        <v>46152</v>
      </c>
      <c r="G52" t="s">
        <v>382</v>
      </c>
      <c r="H52">
        <v>1800000</v>
      </c>
      <c r="I52">
        <v>1704846</v>
      </c>
      <c r="J52">
        <v>0</v>
      </c>
      <c r="K52" t="s">
        <v>22</v>
      </c>
      <c r="L52">
        <v>1600000</v>
      </c>
      <c r="M52" t="s">
        <v>50</v>
      </c>
      <c r="N52" t="s">
        <v>29</v>
      </c>
      <c r="O52" s="3" t="s">
        <v>371</v>
      </c>
      <c r="P52" s="3">
        <v>44</v>
      </c>
      <c r="Q52" t="s">
        <v>377</v>
      </c>
      <c r="R52" t="s">
        <v>373</v>
      </c>
      <c r="S52">
        <f>IF(Tabla1[[#This Row],[dias_mora]]&gt;30,Tabla1[[#This Row],[saldo_cartera]],0)</f>
        <v>0</v>
      </c>
      <c r="T52">
        <f>Tabla1[[#This Row],[saldo_mora_30]]/Tabla1[[#This Row],[saldo_cartera]]</f>
        <v>0</v>
      </c>
      <c r="U52" t="str">
        <f>VLOOKUP(N52,asesores_ficticio!$A:$C,3,FALSE)</f>
        <v>Rionegro</v>
      </c>
      <c r="V52" t="str">
        <f t="shared" si="0"/>
        <v>NO</v>
      </c>
    </row>
    <row r="53" spans="1:22" x14ac:dyDescent="0.3">
      <c r="A53" t="s">
        <v>97</v>
      </c>
      <c r="B53" t="s">
        <v>15</v>
      </c>
      <c r="C53" t="s">
        <v>16</v>
      </c>
      <c r="D53" s="1">
        <v>4518429</v>
      </c>
      <c r="E53" s="1">
        <v>-74210862</v>
      </c>
      <c r="F53" s="2">
        <v>46166</v>
      </c>
      <c r="G53" t="s">
        <v>382</v>
      </c>
      <c r="H53">
        <v>6000000</v>
      </c>
      <c r="I53">
        <v>4119834</v>
      </c>
      <c r="J53">
        <v>0</v>
      </c>
      <c r="K53" t="s">
        <v>48</v>
      </c>
      <c r="L53">
        <v>3500000</v>
      </c>
      <c r="M53" t="s">
        <v>18</v>
      </c>
      <c r="N53" t="s">
        <v>63</v>
      </c>
      <c r="O53" s="3" t="s">
        <v>370</v>
      </c>
      <c r="P53" s="3">
        <v>64</v>
      </c>
      <c r="Q53" t="s">
        <v>377</v>
      </c>
      <c r="R53" t="s">
        <v>378</v>
      </c>
      <c r="S53">
        <f>IF(Tabla1[[#This Row],[dias_mora]]&gt;30,Tabla1[[#This Row],[saldo_cartera]],0)</f>
        <v>0</v>
      </c>
      <c r="T53">
        <f>Tabla1[[#This Row],[saldo_mora_30]]/Tabla1[[#This Row],[saldo_cartera]]</f>
        <v>0</v>
      </c>
      <c r="U53" t="str">
        <f>VLOOKUP(N53,asesores_ficticio!$A:$C,3,FALSE)</f>
        <v>Bogotá</v>
      </c>
      <c r="V53" t="str">
        <f t="shared" si="0"/>
        <v>NO</v>
      </c>
    </row>
    <row r="54" spans="1:22" x14ac:dyDescent="0.3">
      <c r="A54" t="s">
        <v>98</v>
      </c>
      <c r="B54" t="s">
        <v>26</v>
      </c>
      <c r="C54" t="s">
        <v>21</v>
      </c>
      <c r="D54" s="1">
        <v>6132541</v>
      </c>
      <c r="E54" s="1">
        <v>-75406237</v>
      </c>
      <c r="F54" s="2">
        <v>45996</v>
      </c>
      <c r="G54" t="s">
        <v>383</v>
      </c>
      <c r="H54">
        <v>4000000</v>
      </c>
      <c r="I54">
        <v>2216059</v>
      </c>
      <c r="J54">
        <v>0</v>
      </c>
      <c r="K54" t="s">
        <v>48</v>
      </c>
      <c r="L54">
        <v>900000</v>
      </c>
      <c r="M54" t="s">
        <v>50</v>
      </c>
      <c r="N54" t="s">
        <v>57</v>
      </c>
      <c r="O54" s="3" t="s">
        <v>370</v>
      </c>
      <c r="P54" s="3">
        <v>60</v>
      </c>
      <c r="Q54" t="s">
        <v>377</v>
      </c>
      <c r="R54" t="s">
        <v>376</v>
      </c>
      <c r="S54">
        <f>IF(Tabla1[[#This Row],[dias_mora]]&gt;30,Tabla1[[#This Row],[saldo_cartera]],0)</f>
        <v>0</v>
      </c>
      <c r="T54">
        <f>Tabla1[[#This Row],[saldo_mora_30]]/Tabla1[[#This Row],[saldo_cartera]]</f>
        <v>0</v>
      </c>
      <c r="U54" t="str">
        <f>VLOOKUP(N54,asesores_ficticio!$A:$C,3,FALSE)</f>
        <v>Pereira</v>
      </c>
      <c r="V54" t="str">
        <f t="shared" si="0"/>
        <v>NO</v>
      </c>
    </row>
    <row r="55" spans="1:22" x14ac:dyDescent="0.3">
      <c r="A55" t="s">
        <v>99</v>
      </c>
      <c r="B55" t="s">
        <v>381</v>
      </c>
      <c r="C55" t="s">
        <v>16</v>
      </c>
      <c r="D55" s="1">
        <v>4706104</v>
      </c>
      <c r="E55" s="1">
        <v>-74081625</v>
      </c>
      <c r="F55" s="2">
        <v>44970</v>
      </c>
      <c r="G55" t="s">
        <v>383</v>
      </c>
      <c r="H55">
        <v>800000</v>
      </c>
      <c r="I55">
        <v>736538</v>
      </c>
      <c r="J55">
        <v>0</v>
      </c>
      <c r="K55" t="s">
        <v>48</v>
      </c>
      <c r="L55">
        <v>2000000</v>
      </c>
      <c r="M55" t="s">
        <v>28</v>
      </c>
      <c r="N55" t="s">
        <v>61</v>
      </c>
      <c r="O55" s="3" t="s">
        <v>371</v>
      </c>
      <c r="P55" s="3">
        <v>44</v>
      </c>
      <c r="Q55" t="s">
        <v>377</v>
      </c>
      <c r="R55" t="s">
        <v>373</v>
      </c>
      <c r="S55">
        <f>IF(Tabla1[[#This Row],[dias_mora]]&gt;30,Tabla1[[#This Row],[saldo_cartera]],0)</f>
        <v>0</v>
      </c>
      <c r="T55">
        <f>Tabla1[[#This Row],[saldo_mora_30]]/Tabla1[[#This Row],[saldo_cartera]]</f>
        <v>0</v>
      </c>
      <c r="U55" t="str">
        <f>VLOOKUP(N55,asesores_ficticio!$A:$C,3,FALSE)</f>
        <v>Medellín</v>
      </c>
      <c r="V55" t="str">
        <f t="shared" si="0"/>
        <v>NO</v>
      </c>
    </row>
    <row r="56" spans="1:22" x14ac:dyDescent="0.3">
      <c r="A56" t="s">
        <v>100</v>
      </c>
      <c r="B56" t="s">
        <v>380</v>
      </c>
      <c r="C56" t="s">
        <v>21</v>
      </c>
      <c r="D56" s="1">
        <v>6115772</v>
      </c>
      <c r="E56" s="1">
        <v>-75602146</v>
      </c>
      <c r="F56" s="2">
        <v>46315</v>
      </c>
      <c r="G56" t="s">
        <v>385</v>
      </c>
      <c r="H56">
        <v>1200000</v>
      </c>
      <c r="I56">
        <v>206885</v>
      </c>
      <c r="J56">
        <v>0</v>
      </c>
      <c r="K56" t="s">
        <v>17</v>
      </c>
      <c r="L56">
        <v>2800000</v>
      </c>
      <c r="M56" t="s">
        <v>31</v>
      </c>
      <c r="N56" t="s">
        <v>38</v>
      </c>
      <c r="O56" s="3" t="s">
        <v>370</v>
      </c>
      <c r="P56" s="3">
        <v>20</v>
      </c>
      <c r="Q56" t="s">
        <v>372</v>
      </c>
      <c r="R56" t="s">
        <v>373</v>
      </c>
      <c r="S56">
        <f>IF(Tabla1[[#This Row],[dias_mora]]&gt;30,Tabla1[[#This Row],[saldo_cartera]],0)</f>
        <v>0</v>
      </c>
      <c r="T56">
        <f>Tabla1[[#This Row],[saldo_mora_30]]/Tabla1[[#This Row],[saldo_cartera]]</f>
        <v>0</v>
      </c>
      <c r="U56" t="str">
        <f>VLOOKUP(N56,asesores_ficticio!$A:$C,3,FALSE)</f>
        <v>Barranquilla</v>
      </c>
      <c r="V56" t="str">
        <f t="shared" si="0"/>
        <v>NO</v>
      </c>
    </row>
    <row r="57" spans="1:22" x14ac:dyDescent="0.3">
      <c r="A57" t="s">
        <v>101</v>
      </c>
      <c r="B57" t="s">
        <v>34</v>
      </c>
      <c r="C57" t="s">
        <v>386</v>
      </c>
      <c r="D57" s="1">
        <v>10931477</v>
      </c>
      <c r="E57" s="1">
        <v>-74782236</v>
      </c>
      <c r="F57" s="2">
        <v>45037</v>
      </c>
      <c r="G57" t="s">
        <v>385</v>
      </c>
      <c r="H57">
        <v>1800000</v>
      </c>
      <c r="I57">
        <v>647232</v>
      </c>
      <c r="J57">
        <v>5</v>
      </c>
      <c r="K57" t="s">
        <v>27</v>
      </c>
      <c r="L57">
        <v>2800000</v>
      </c>
      <c r="M57" t="s">
        <v>50</v>
      </c>
      <c r="N57" t="s">
        <v>42</v>
      </c>
      <c r="O57" s="3" t="s">
        <v>371</v>
      </c>
      <c r="P57" s="3">
        <v>46</v>
      </c>
      <c r="Q57" t="s">
        <v>375</v>
      </c>
      <c r="R57" t="s">
        <v>373</v>
      </c>
      <c r="S57">
        <f>IF(Tabla1[[#This Row],[dias_mora]]&gt;30,Tabla1[[#This Row],[saldo_cartera]],0)</f>
        <v>0</v>
      </c>
      <c r="T57">
        <f>Tabla1[[#This Row],[saldo_mora_30]]/Tabla1[[#This Row],[saldo_cartera]]</f>
        <v>0</v>
      </c>
      <c r="U57" t="str">
        <f>VLOOKUP(N57,asesores_ficticio!$A:$C,3,FALSE)</f>
        <v>Itagüí</v>
      </c>
      <c r="V57" t="str">
        <f t="shared" si="0"/>
        <v>NO</v>
      </c>
    </row>
    <row r="58" spans="1:22" x14ac:dyDescent="0.3">
      <c r="A58" t="s">
        <v>102</v>
      </c>
      <c r="B58" t="s">
        <v>26</v>
      </c>
      <c r="C58" t="s">
        <v>21</v>
      </c>
      <c r="D58" s="1">
        <v>610261</v>
      </c>
      <c r="E58" s="1">
        <v>-7544259</v>
      </c>
      <c r="F58" s="2">
        <v>45665</v>
      </c>
      <c r="G58" t="s">
        <v>382</v>
      </c>
      <c r="H58">
        <v>500000</v>
      </c>
      <c r="I58">
        <v>223620</v>
      </c>
      <c r="J58">
        <v>5</v>
      </c>
      <c r="K58" t="s">
        <v>27</v>
      </c>
      <c r="L58">
        <v>2000000</v>
      </c>
      <c r="M58" t="s">
        <v>31</v>
      </c>
      <c r="N58" t="s">
        <v>19</v>
      </c>
      <c r="O58" s="3" t="s">
        <v>371</v>
      </c>
      <c r="P58" s="3">
        <v>48</v>
      </c>
      <c r="Q58" t="s">
        <v>375</v>
      </c>
      <c r="R58" t="s">
        <v>373</v>
      </c>
      <c r="S58">
        <f>IF(Tabla1[[#This Row],[dias_mora]]&gt;30,Tabla1[[#This Row],[saldo_cartera]],0)</f>
        <v>0</v>
      </c>
      <c r="T58">
        <f>Tabla1[[#This Row],[saldo_mora_30]]/Tabla1[[#This Row],[saldo_cartera]]</f>
        <v>0</v>
      </c>
      <c r="U58" t="str">
        <f>VLOOKUP(N58,asesores_ficticio!$A:$C,3,FALSE)</f>
        <v>Bello</v>
      </c>
      <c r="V58" t="str">
        <f t="shared" si="0"/>
        <v>NO</v>
      </c>
    </row>
    <row r="59" spans="1:22" x14ac:dyDescent="0.3">
      <c r="A59" t="s">
        <v>103</v>
      </c>
      <c r="B59" t="s">
        <v>26</v>
      </c>
      <c r="C59" t="s">
        <v>21</v>
      </c>
      <c r="D59" s="1">
        <v>6222626</v>
      </c>
      <c r="E59" s="1">
        <v>-75328548</v>
      </c>
      <c r="F59" s="2">
        <v>46071</v>
      </c>
      <c r="G59" t="s">
        <v>385</v>
      </c>
      <c r="H59">
        <v>4000000</v>
      </c>
      <c r="I59">
        <v>2405285</v>
      </c>
      <c r="J59">
        <v>30</v>
      </c>
      <c r="K59" t="s">
        <v>22</v>
      </c>
      <c r="L59">
        <v>1300000</v>
      </c>
      <c r="M59" t="s">
        <v>23</v>
      </c>
      <c r="N59" t="s">
        <v>42</v>
      </c>
      <c r="O59" s="3" t="s">
        <v>371</v>
      </c>
      <c r="P59" s="3">
        <v>38</v>
      </c>
      <c r="Q59" t="s">
        <v>374</v>
      </c>
      <c r="R59" t="s">
        <v>376</v>
      </c>
      <c r="S59">
        <f>IF(Tabla1[[#This Row],[dias_mora]]&gt;30,Tabla1[[#This Row],[saldo_cartera]],0)</f>
        <v>0</v>
      </c>
      <c r="T59">
        <f>Tabla1[[#This Row],[saldo_mora_30]]/Tabla1[[#This Row],[saldo_cartera]]</f>
        <v>0</v>
      </c>
      <c r="U59" t="str">
        <f>VLOOKUP(N59,asesores_ficticio!$A:$C,3,FALSE)</f>
        <v>Itagüí</v>
      </c>
      <c r="V59" t="str">
        <f t="shared" si="0"/>
        <v>NO</v>
      </c>
    </row>
    <row r="60" spans="1:22" x14ac:dyDescent="0.3">
      <c r="A60" t="s">
        <v>104</v>
      </c>
      <c r="B60" t="s">
        <v>46</v>
      </c>
      <c r="C60" t="s">
        <v>21</v>
      </c>
      <c r="D60" s="1">
        <v>6266842</v>
      </c>
      <c r="E60" s="1">
        <v>-75511179</v>
      </c>
      <c r="F60" s="2">
        <v>46068</v>
      </c>
      <c r="G60" t="s">
        <v>382</v>
      </c>
      <c r="H60">
        <v>2500000</v>
      </c>
      <c r="I60">
        <v>1841535</v>
      </c>
      <c r="J60">
        <v>0</v>
      </c>
      <c r="K60" t="s">
        <v>37</v>
      </c>
      <c r="L60">
        <v>1600000</v>
      </c>
      <c r="M60" t="s">
        <v>23</v>
      </c>
      <c r="N60" t="s">
        <v>35</v>
      </c>
      <c r="O60" s="3" t="s">
        <v>371</v>
      </c>
      <c r="P60" s="3">
        <v>49</v>
      </c>
      <c r="Q60" t="s">
        <v>377</v>
      </c>
      <c r="R60" t="s">
        <v>373</v>
      </c>
      <c r="S60">
        <f>IF(Tabla1[[#This Row],[dias_mora]]&gt;30,Tabla1[[#This Row],[saldo_cartera]],0)</f>
        <v>0</v>
      </c>
      <c r="T60">
        <f>Tabla1[[#This Row],[saldo_mora_30]]/Tabla1[[#This Row],[saldo_cartera]]</f>
        <v>0</v>
      </c>
      <c r="U60" t="str">
        <f>VLOOKUP(N60,asesores_ficticio!$A:$C,3,FALSE)</f>
        <v>Bucaramanga</v>
      </c>
      <c r="V60" t="str">
        <f t="shared" si="0"/>
        <v>NO</v>
      </c>
    </row>
    <row r="61" spans="1:22" x14ac:dyDescent="0.3">
      <c r="A61" t="s">
        <v>105</v>
      </c>
      <c r="B61" t="s">
        <v>40</v>
      </c>
      <c r="C61" t="s">
        <v>41</v>
      </c>
      <c r="D61" s="1">
        <v>7118307</v>
      </c>
      <c r="E61" s="1">
        <v>-73189829</v>
      </c>
      <c r="F61" s="2">
        <v>45660</v>
      </c>
      <c r="G61" t="s">
        <v>385</v>
      </c>
      <c r="H61">
        <v>500000</v>
      </c>
      <c r="I61">
        <v>428005</v>
      </c>
      <c r="J61">
        <v>15</v>
      </c>
      <c r="K61" t="s">
        <v>17</v>
      </c>
      <c r="L61">
        <v>2800000</v>
      </c>
      <c r="M61" t="s">
        <v>28</v>
      </c>
      <c r="N61" t="s">
        <v>61</v>
      </c>
      <c r="O61" s="3" t="s">
        <v>371</v>
      </c>
      <c r="P61" s="3">
        <v>59</v>
      </c>
      <c r="Q61" t="s">
        <v>375</v>
      </c>
      <c r="R61" t="s">
        <v>373</v>
      </c>
      <c r="S61">
        <f>IF(Tabla1[[#This Row],[dias_mora]]&gt;30,Tabla1[[#This Row],[saldo_cartera]],0)</f>
        <v>0</v>
      </c>
      <c r="T61">
        <f>Tabla1[[#This Row],[saldo_mora_30]]/Tabla1[[#This Row],[saldo_cartera]]</f>
        <v>0</v>
      </c>
      <c r="U61" t="str">
        <f>VLOOKUP(N61,asesores_ficticio!$A:$C,3,FALSE)</f>
        <v>Medellín</v>
      </c>
      <c r="V61" t="str">
        <f t="shared" si="0"/>
        <v>NO</v>
      </c>
    </row>
    <row r="62" spans="1:22" x14ac:dyDescent="0.3">
      <c r="A62" t="s">
        <v>106</v>
      </c>
      <c r="B62" t="s">
        <v>381</v>
      </c>
      <c r="C62" t="s">
        <v>16</v>
      </c>
      <c r="D62" s="1">
        <v>47232</v>
      </c>
      <c r="E62" s="1">
        <v>-74030003</v>
      </c>
      <c r="F62" s="2">
        <v>45579</v>
      </c>
      <c r="G62" t="s">
        <v>383</v>
      </c>
      <c r="H62">
        <v>800000</v>
      </c>
      <c r="I62">
        <v>399941</v>
      </c>
      <c r="J62">
        <v>5</v>
      </c>
      <c r="K62" t="s">
        <v>48</v>
      </c>
      <c r="L62">
        <v>1600000</v>
      </c>
      <c r="M62" t="s">
        <v>31</v>
      </c>
      <c r="N62" t="s">
        <v>24</v>
      </c>
      <c r="O62" s="3" t="s">
        <v>371</v>
      </c>
      <c r="P62" s="3">
        <v>63</v>
      </c>
      <c r="Q62" t="s">
        <v>375</v>
      </c>
      <c r="R62" t="s">
        <v>373</v>
      </c>
      <c r="S62">
        <f>IF(Tabla1[[#This Row],[dias_mora]]&gt;30,Tabla1[[#This Row],[saldo_cartera]],0)</f>
        <v>0</v>
      </c>
      <c r="T62">
        <f>Tabla1[[#This Row],[saldo_mora_30]]/Tabla1[[#This Row],[saldo_cartera]]</f>
        <v>0</v>
      </c>
      <c r="U62" t="str">
        <f>VLOOKUP(N62,asesores_ficticio!$A:$C,3,FALSE)</f>
        <v>Soacha</v>
      </c>
      <c r="V62" t="str">
        <f t="shared" si="0"/>
        <v>NO</v>
      </c>
    </row>
    <row r="63" spans="1:22" x14ac:dyDescent="0.3">
      <c r="A63" t="s">
        <v>107</v>
      </c>
      <c r="B63" t="s">
        <v>70</v>
      </c>
      <c r="C63" t="s">
        <v>71</v>
      </c>
      <c r="D63" s="1">
        <v>3424929</v>
      </c>
      <c r="E63" s="1">
        <v>-76504779</v>
      </c>
      <c r="F63" s="2">
        <v>45974</v>
      </c>
      <c r="G63" t="s">
        <v>384</v>
      </c>
      <c r="H63">
        <v>6000000</v>
      </c>
      <c r="I63">
        <v>1420207</v>
      </c>
      <c r="J63">
        <v>0</v>
      </c>
      <c r="K63" t="s">
        <v>37</v>
      </c>
      <c r="L63">
        <v>2000000</v>
      </c>
      <c r="M63" t="s">
        <v>50</v>
      </c>
      <c r="N63" t="s">
        <v>24</v>
      </c>
      <c r="O63" s="3" t="s">
        <v>370</v>
      </c>
      <c r="P63" s="3">
        <v>33</v>
      </c>
      <c r="Q63" t="s">
        <v>372</v>
      </c>
      <c r="R63" t="s">
        <v>373</v>
      </c>
      <c r="S63">
        <f>IF(Tabla1[[#This Row],[dias_mora]]&gt;30,Tabla1[[#This Row],[saldo_cartera]],0)</f>
        <v>0</v>
      </c>
      <c r="T63">
        <f>Tabla1[[#This Row],[saldo_mora_30]]/Tabla1[[#This Row],[saldo_cartera]]</f>
        <v>0</v>
      </c>
      <c r="U63" t="str">
        <f>VLOOKUP(N63,asesores_ficticio!$A:$C,3,FALSE)</f>
        <v>Soacha</v>
      </c>
      <c r="V63" t="str">
        <f t="shared" si="0"/>
        <v>NO</v>
      </c>
    </row>
    <row r="64" spans="1:22" x14ac:dyDescent="0.3">
      <c r="A64" t="s">
        <v>108</v>
      </c>
      <c r="B64" t="s">
        <v>381</v>
      </c>
      <c r="C64" t="s">
        <v>16</v>
      </c>
      <c r="D64" s="1">
        <v>4682724</v>
      </c>
      <c r="E64" s="1">
        <v>-7399687</v>
      </c>
      <c r="F64" s="2">
        <v>46205</v>
      </c>
      <c r="G64" t="s">
        <v>385</v>
      </c>
      <c r="H64">
        <v>1800000</v>
      </c>
      <c r="I64">
        <v>1503313</v>
      </c>
      <c r="J64">
        <v>30</v>
      </c>
      <c r="K64" t="s">
        <v>17</v>
      </c>
      <c r="L64">
        <v>900000</v>
      </c>
      <c r="M64" t="s">
        <v>23</v>
      </c>
      <c r="N64" t="s">
        <v>57</v>
      </c>
      <c r="O64" s="3" t="s">
        <v>371</v>
      </c>
      <c r="P64" s="3">
        <v>38</v>
      </c>
      <c r="Q64" t="s">
        <v>374</v>
      </c>
      <c r="R64" t="s">
        <v>376</v>
      </c>
      <c r="S64">
        <f>IF(Tabla1[[#This Row],[dias_mora]]&gt;30,Tabla1[[#This Row],[saldo_cartera]],0)</f>
        <v>0</v>
      </c>
      <c r="T64">
        <f>Tabla1[[#This Row],[saldo_mora_30]]/Tabla1[[#This Row],[saldo_cartera]]</f>
        <v>0</v>
      </c>
      <c r="U64" t="str">
        <f>VLOOKUP(N64,asesores_ficticio!$A:$C,3,FALSE)</f>
        <v>Pereira</v>
      </c>
      <c r="V64" t="str">
        <f t="shared" si="0"/>
        <v>NO</v>
      </c>
    </row>
    <row r="65" spans="1:22" x14ac:dyDescent="0.3">
      <c r="A65" t="s">
        <v>109</v>
      </c>
      <c r="B65" t="s">
        <v>34</v>
      </c>
      <c r="C65" t="s">
        <v>386</v>
      </c>
      <c r="D65" s="1">
        <v>10983965</v>
      </c>
      <c r="E65" s="1">
        <v>-74754802</v>
      </c>
      <c r="F65" s="2">
        <v>46372</v>
      </c>
      <c r="G65" t="s">
        <v>384</v>
      </c>
      <c r="H65">
        <v>800000</v>
      </c>
      <c r="I65">
        <v>261598</v>
      </c>
      <c r="J65">
        <v>0</v>
      </c>
      <c r="K65" t="s">
        <v>48</v>
      </c>
      <c r="L65">
        <v>1600000</v>
      </c>
      <c r="M65" t="s">
        <v>28</v>
      </c>
      <c r="N65" t="s">
        <v>29</v>
      </c>
      <c r="O65" s="3" t="s">
        <v>371</v>
      </c>
      <c r="P65" s="3">
        <v>24</v>
      </c>
      <c r="Q65" t="s">
        <v>372</v>
      </c>
      <c r="R65" t="s">
        <v>373</v>
      </c>
      <c r="S65">
        <f>IF(Tabla1[[#This Row],[dias_mora]]&gt;30,Tabla1[[#This Row],[saldo_cartera]],0)</f>
        <v>0</v>
      </c>
      <c r="T65">
        <f>Tabla1[[#This Row],[saldo_mora_30]]/Tabla1[[#This Row],[saldo_cartera]]</f>
        <v>0</v>
      </c>
      <c r="U65" t="str">
        <f>VLOOKUP(N65,asesores_ficticio!$A:$C,3,FALSE)</f>
        <v>Rionegro</v>
      </c>
      <c r="V65" t="str">
        <f t="shared" si="0"/>
        <v>NO</v>
      </c>
    </row>
    <row r="66" spans="1:22" x14ac:dyDescent="0.3">
      <c r="A66" t="s">
        <v>110</v>
      </c>
      <c r="B66" t="s">
        <v>380</v>
      </c>
      <c r="C66" t="s">
        <v>21</v>
      </c>
      <c r="D66" s="1">
        <v>614162</v>
      </c>
      <c r="E66" s="1">
        <v>-75690012</v>
      </c>
      <c r="F66" s="2">
        <v>46074</v>
      </c>
      <c r="G66" t="s">
        <v>385</v>
      </c>
      <c r="H66">
        <v>1800000</v>
      </c>
      <c r="I66">
        <v>322610</v>
      </c>
      <c r="J66">
        <v>120</v>
      </c>
      <c r="K66" t="s">
        <v>37</v>
      </c>
      <c r="L66">
        <v>900000</v>
      </c>
      <c r="M66" t="s">
        <v>23</v>
      </c>
      <c r="N66" t="s">
        <v>35</v>
      </c>
      <c r="O66" s="3" t="s">
        <v>371</v>
      </c>
      <c r="P66" s="3">
        <v>59</v>
      </c>
      <c r="Q66" t="s">
        <v>374</v>
      </c>
      <c r="R66" t="s">
        <v>376</v>
      </c>
      <c r="S66">
        <f>IF(Tabla1[[#This Row],[dias_mora]]&gt;30,Tabla1[[#This Row],[saldo_cartera]],0)</f>
        <v>322610</v>
      </c>
      <c r="T66">
        <f>Tabla1[[#This Row],[saldo_mora_30]]/Tabla1[[#This Row],[saldo_cartera]]</f>
        <v>1</v>
      </c>
      <c r="U66" t="str">
        <f>VLOOKUP(N66,asesores_ficticio!$A:$C,3,FALSE)</f>
        <v>Bucaramanga</v>
      </c>
      <c r="V66" t="str">
        <f t="shared" ref="V66:V129" si="1">IF(B66=U66,"SI","NO")</f>
        <v>NO</v>
      </c>
    </row>
    <row r="67" spans="1:22" x14ac:dyDescent="0.3">
      <c r="A67" t="s">
        <v>111</v>
      </c>
      <c r="B67" t="s">
        <v>381</v>
      </c>
      <c r="C67" t="s">
        <v>16</v>
      </c>
      <c r="D67" s="1">
        <v>4697478</v>
      </c>
      <c r="E67" s="1">
        <v>-740749</v>
      </c>
      <c r="F67" s="2">
        <v>45582</v>
      </c>
      <c r="G67" t="s">
        <v>385</v>
      </c>
      <c r="H67">
        <v>1800000</v>
      </c>
      <c r="I67">
        <v>552908</v>
      </c>
      <c r="J67">
        <v>0</v>
      </c>
      <c r="K67" t="s">
        <v>48</v>
      </c>
      <c r="L67">
        <v>2000000</v>
      </c>
      <c r="M67" t="s">
        <v>23</v>
      </c>
      <c r="N67" t="s">
        <v>32</v>
      </c>
      <c r="O67" s="3" t="s">
        <v>370</v>
      </c>
      <c r="P67" s="3">
        <v>28</v>
      </c>
      <c r="Q67" t="s">
        <v>372</v>
      </c>
      <c r="R67" t="s">
        <v>373</v>
      </c>
      <c r="S67">
        <f>IF(Tabla1[[#This Row],[dias_mora]]&gt;30,Tabla1[[#This Row],[saldo_cartera]],0)</f>
        <v>0</v>
      </c>
      <c r="T67">
        <f>Tabla1[[#This Row],[saldo_mora_30]]/Tabla1[[#This Row],[saldo_cartera]]</f>
        <v>0</v>
      </c>
      <c r="U67" t="str">
        <f>VLOOKUP(N67,asesores_ficticio!$A:$C,3,FALSE)</f>
        <v>Cali</v>
      </c>
      <c r="V67" t="str">
        <f t="shared" si="1"/>
        <v>NO</v>
      </c>
    </row>
    <row r="68" spans="1:22" x14ac:dyDescent="0.3">
      <c r="A68" t="s">
        <v>112</v>
      </c>
      <c r="B68" t="s">
        <v>15</v>
      </c>
      <c r="C68" t="s">
        <v>16</v>
      </c>
      <c r="D68" s="1">
        <v>464878</v>
      </c>
      <c r="E68" s="1">
        <v>-74215362</v>
      </c>
      <c r="F68" s="2">
        <v>46096</v>
      </c>
      <c r="G68" t="s">
        <v>383</v>
      </c>
      <c r="H68">
        <v>6000000</v>
      </c>
      <c r="I68">
        <v>613083</v>
      </c>
      <c r="J68">
        <v>15</v>
      </c>
      <c r="K68" t="s">
        <v>27</v>
      </c>
      <c r="L68">
        <v>2800000</v>
      </c>
      <c r="M68" t="s">
        <v>23</v>
      </c>
      <c r="N68" t="s">
        <v>35</v>
      </c>
      <c r="O68" s="3" t="s">
        <v>371</v>
      </c>
      <c r="P68" s="3">
        <v>64</v>
      </c>
      <c r="Q68" t="s">
        <v>375</v>
      </c>
      <c r="R68" t="s">
        <v>373</v>
      </c>
      <c r="S68">
        <f>IF(Tabla1[[#This Row],[dias_mora]]&gt;30,Tabla1[[#This Row],[saldo_cartera]],0)</f>
        <v>0</v>
      </c>
      <c r="T68">
        <f>Tabla1[[#This Row],[saldo_mora_30]]/Tabla1[[#This Row],[saldo_cartera]]</f>
        <v>0</v>
      </c>
      <c r="U68" t="str">
        <f>VLOOKUP(N68,asesores_ficticio!$A:$C,3,FALSE)</f>
        <v>Bucaramanga</v>
      </c>
      <c r="V68" t="str">
        <f t="shared" si="1"/>
        <v>NO</v>
      </c>
    </row>
    <row r="69" spans="1:22" x14ac:dyDescent="0.3">
      <c r="A69" t="s">
        <v>113</v>
      </c>
      <c r="B69" t="s">
        <v>40</v>
      </c>
      <c r="C69" t="s">
        <v>41</v>
      </c>
      <c r="D69" s="1">
        <v>7099654</v>
      </c>
      <c r="E69" s="1">
        <v>-73053444</v>
      </c>
      <c r="F69" s="2">
        <v>46140</v>
      </c>
      <c r="G69" t="s">
        <v>383</v>
      </c>
      <c r="H69">
        <v>6000000</v>
      </c>
      <c r="I69">
        <v>1562127</v>
      </c>
      <c r="J69">
        <v>5</v>
      </c>
      <c r="K69" t="s">
        <v>48</v>
      </c>
      <c r="L69">
        <v>2800000</v>
      </c>
      <c r="M69" t="s">
        <v>23</v>
      </c>
      <c r="N69" t="s">
        <v>38</v>
      </c>
      <c r="O69" s="3" t="s">
        <v>371</v>
      </c>
      <c r="P69" s="3">
        <v>40</v>
      </c>
      <c r="Q69" t="s">
        <v>375</v>
      </c>
      <c r="R69" t="s">
        <v>373</v>
      </c>
      <c r="S69">
        <f>IF(Tabla1[[#This Row],[dias_mora]]&gt;30,Tabla1[[#This Row],[saldo_cartera]],0)</f>
        <v>0</v>
      </c>
      <c r="T69">
        <f>Tabla1[[#This Row],[saldo_mora_30]]/Tabla1[[#This Row],[saldo_cartera]]</f>
        <v>0</v>
      </c>
      <c r="U69" t="str">
        <f>VLOOKUP(N69,asesores_ficticio!$A:$C,3,FALSE)</f>
        <v>Barranquilla</v>
      </c>
      <c r="V69" t="str">
        <f t="shared" si="1"/>
        <v>NO</v>
      </c>
    </row>
    <row r="70" spans="1:22" x14ac:dyDescent="0.3">
      <c r="A70" t="s">
        <v>114</v>
      </c>
      <c r="B70" t="s">
        <v>70</v>
      </c>
      <c r="C70" t="s">
        <v>71</v>
      </c>
      <c r="D70" s="1">
        <v>3433373</v>
      </c>
      <c r="E70" s="1">
        <v>-7650581</v>
      </c>
      <c r="F70" s="2">
        <v>45554</v>
      </c>
      <c r="G70" t="s">
        <v>382</v>
      </c>
      <c r="H70">
        <v>6000000</v>
      </c>
      <c r="I70">
        <v>3925297</v>
      </c>
      <c r="J70">
        <v>0</v>
      </c>
      <c r="K70" t="s">
        <v>48</v>
      </c>
      <c r="L70">
        <v>900000</v>
      </c>
      <c r="M70" t="s">
        <v>31</v>
      </c>
      <c r="N70" t="s">
        <v>19</v>
      </c>
      <c r="O70" s="3" t="s">
        <v>371</v>
      </c>
      <c r="P70" s="3">
        <v>26</v>
      </c>
      <c r="Q70" t="s">
        <v>377</v>
      </c>
      <c r="R70" t="s">
        <v>376</v>
      </c>
      <c r="S70">
        <f>IF(Tabla1[[#This Row],[dias_mora]]&gt;30,Tabla1[[#This Row],[saldo_cartera]],0)</f>
        <v>0</v>
      </c>
      <c r="T70">
        <f>Tabla1[[#This Row],[saldo_mora_30]]/Tabla1[[#This Row],[saldo_cartera]]</f>
        <v>0</v>
      </c>
      <c r="U70" t="str">
        <f>VLOOKUP(N70,asesores_ficticio!$A:$C,3,FALSE)</f>
        <v>Bello</v>
      </c>
      <c r="V70" t="str">
        <f t="shared" si="1"/>
        <v>NO</v>
      </c>
    </row>
    <row r="71" spans="1:22" x14ac:dyDescent="0.3">
      <c r="A71" t="s">
        <v>115</v>
      </c>
      <c r="B71" t="s">
        <v>40</v>
      </c>
      <c r="C71" t="s">
        <v>41</v>
      </c>
      <c r="D71" s="1">
        <v>7184971</v>
      </c>
      <c r="E71" s="1">
        <v>-73200244</v>
      </c>
      <c r="F71" s="2">
        <v>45164</v>
      </c>
      <c r="G71" t="s">
        <v>382</v>
      </c>
      <c r="H71">
        <v>800000</v>
      </c>
      <c r="I71">
        <v>358785</v>
      </c>
      <c r="J71">
        <v>5</v>
      </c>
      <c r="K71" t="s">
        <v>27</v>
      </c>
      <c r="L71">
        <v>1300000</v>
      </c>
      <c r="M71" t="s">
        <v>28</v>
      </c>
      <c r="N71" t="s">
        <v>32</v>
      </c>
      <c r="O71" s="3" t="s">
        <v>371</v>
      </c>
      <c r="P71" s="3">
        <v>32</v>
      </c>
      <c r="Q71" t="s">
        <v>375</v>
      </c>
      <c r="R71" t="s">
        <v>376</v>
      </c>
      <c r="S71">
        <f>IF(Tabla1[[#This Row],[dias_mora]]&gt;30,Tabla1[[#This Row],[saldo_cartera]],0)</f>
        <v>0</v>
      </c>
      <c r="T71">
        <f>Tabla1[[#This Row],[saldo_mora_30]]/Tabla1[[#This Row],[saldo_cartera]]</f>
        <v>0</v>
      </c>
      <c r="U71" t="str">
        <f>VLOOKUP(N71,asesores_ficticio!$A:$C,3,FALSE)</f>
        <v>Cali</v>
      </c>
      <c r="V71" t="str">
        <f t="shared" si="1"/>
        <v>NO</v>
      </c>
    </row>
    <row r="72" spans="1:22" x14ac:dyDescent="0.3">
      <c r="A72" t="s">
        <v>116</v>
      </c>
      <c r="B72" t="s">
        <v>46</v>
      </c>
      <c r="C72" t="s">
        <v>21</v>
      </c>
      <c r="D72" s="1">
        <v>6393582</v>
      </c>
      <c r="E72" s="1">
        <v>-75501625</v>
      </c>
      <c r="F72" s="2">
        <v>46267</v>
      </c>
      <c r="G72" t="s">
        <v>384</v>
      </c>
      <c r="H72">
        <v>6000000</v>
      </c>
      <c r="I72">
        <v>3321474</v>
      </c>
      <c r="J72">
        <v>90</v>
      </c>
      <c r="K72" t="s">
        <v>22</v>
      </c>
      <c r="L72">
        <v>3500000</v>
      </c>
      <c r="M72" t="s">
        <v>23</v>
      </c>
      <c r="N72" t="s">
        <v>29</v>
      </c>
      <c r="O72" s="3" t="s">
        <v>371</v>
      </c>
      <c r="P72" s="3">
        <v>22</v>
      </c>
      <c r="Q72" t="s">
        <v>374</v>
      </c>
      <c r="R72" t="s">
        <v>378</v>
      </c>
      <c r="S72">
        <f>IF(Tabla1[[#This Row],[dias_mora]]&gt;30,Tabla1[[#This Row],[saldo_cartera]],0)</f>
        <v>3321474</v>
      </c>
      <c r="T72">
        <f>Tabla1[[#This Row],[saldo_mora_30]]/Tabla1[[#This Row],[saldo_cartera]]</f>
        <v>1</v>
      </c>
      <c r="U72" t="str">
        <f>VLOOKUP(N72,asesores_ficticio!$A:$C,3,FALSE)</f>
        <v>Rionegro</v>
      </c>
      <c r="V72" t="str">
        <f t="shared" si="1"/>
        <v>NO</v>
      </c>
    </row>
    <row r="73" spans="1:22" x14ac:dyDescent="0.3">
      <c r="A73" t="s">
        <v>117</v>
      </c>
      <c r="B73" t="s">
        <v>46</v>
      </c>
      <c r="C73" t="s">
        <v>21</v>
      </c>
      <c r="D73" s="1">
        <v>6326735</v>
      </c>
      <c r="E73" s="1">
        <v>-75622249</v>
      </c>
      <c r="F73" s="2">
        <v>45659</v>
      </c>
      <c r="G73" t="s">
        <v>382</v>
      </c>
      <c r="H73">
        <v>4000000</v>
      </c>
      <c r="I73">
        <v>2793229</v>
      </c>
      <c r="J73">
        <v>0</v>
      </c>
      <c r="K73" t="s">
        <v>48</v>
      </c>
      <c r="L73">
        <v>1300000</v>
      </c>
      <c r="M73" t="s">
        <v>23</v>
      </c>
      <c r="N73" t="s">
        <v>24</v>
      </c>
      <c r="O73" s="3" t="s">
        <v>371</v>
      </c>
      <c r="P73" s="3">
        <v>61</v>
      </c>
      <c r="Q73" t="s">
        <v>377</v>
      </c>
      <c r="R73" t="s">
        <v>376</v>
      </c>
      <c r="S73">
        <f>IF(Tabla1[[#This Row],[dias_mora]]&gt;30,Tabla1[[#This Row],[saldo_cartera]],0)</f>
        <v>0</v>
      </c>
      <c r="T73">
        <f>Tabla1[[#This Row],[saldo_mora_30]]/Tabla1[[#This Row],[saldo_cartera]]</f>
        <v>0</v>
      </c>
      <c r="U73" t="str">
        <f>VLOOKUP(N73,asesores_ficticio!$A:$C,3,FALSE)</f>
        <v>Soacha</v>
      </c>
      <c r="V73" t="str">
        <f t="shared" si="1"/>
        <v>NO</v>
      </c>
    </row>
    <row r="74" spans="1:22" x14ac:dyDescent="0.3">
      <c r="A74" t="s">
        <v>118</v>
      </c>
      <c r="B74" t="s">
        <v>15</v>
      </c>
      <c r="C74" t="s">
        <v>16</v>
      </c>
      <c r="D74" s="1">
        <v>456821</v>
      </c>
      <c r="E74" s="1">
        <v>-74257528</v>
      </c>
      <c r="F74" s="2">
        <v>45342</v>
      </c>
      <c r="G74" t="s">
        <v>383</v>
      </c>
      <c r="H74">
        <v>1800000</v>
      </c>
      <c r="I74">
        <v>1045870</v>
      </c>
      <c r="J74">
        <v>30</v>
      </c>
      <c r="K74" t="s">
        <v>17</v>
      </c>
      <c r="L74">
        <v>1300000</v>
      </c>
      <c r="M74" t="s">
        <v>18</v>
      </c>
      <c r="N74" t="s">
        <v>38</v>
      </c>
      <c r="O74" s="3" t="s">
        <v>371</v>
      </c>
      <c r="P74" s="3">
        <v>35</v>
      </c>
      <c r="Q74" t="s">
        <v>374</v>
      </c>
      <c r="R74" t="s">
        <v>376</v>
      </c>
      <c r="S74">
        <f>IF(Tabla1[[#This Row],[dias_mora]]&gt;30,Tabla1[[#This Row],[saldo_cartera]],0)</f>
        <v>0</v>
      </c>
      <c r="T74">
        <f>Tabla1[[#This Row],[saldo_mora_30]]/Tabla1[[#This Row],[saldo_cartera]]</f>
        <v>0</v>
      </c>
      <c r="U74" t="str">
        <f>VLOOKUP(N74,asesores_ficticio!$A:$C,3,FALSE)</f>
        <v>Barranquilla</v>
      </c>
      <c r="V74" t="str">
        <f t="shared" si="1"/>
        <v>NO</v>
      </c>
    </row>
    <row r="75" spans="1:22" x14ac:dyDescent="0.3">
      <c r="A75" t="s">
        <v>119</v>
      </c>
      <c r="B75" t="s">
        <v>76</v>
      </c>
      <c r="C75" t="s">
        <v>77</v>
      </c>
      <c r="D75" s="1">
        <v>4757199</v>
      </c>
      <c r="E75" s="1">
        <v>-75700816</v>
      </c>
      <c r="F75" s="2">
        <v>45979</v>
      </c>
      <c r="G75" t="s">
        <v>385</v>
      </c>
      <c r="H75">
        <v>1200000</v>
      </c>
      <c r="I75">
        <v>588762</v>
      </c>
      <c r="J75">
        <v>5</v>
      </c>
      <c r="K75" t="s">
        <v>48</v>
      </c>
      <c r="L75">
        <v>2000000</v>
      </c>
      <c r="M75" t="s">
        <v>31</v>
      </c>
      <c r="N75" t="s">
        <v>24</v>
      </c>
      <c r="O75" s="3" t="s">
        <v>371</v>
      </c>
      <c r="P75" s="3">
        <v>33</v>
      </c>
      <c r="Q75" t="s">
        <v>375</v>
      </c>
      <c r="R75" t="s">
        <v>373</v>
      </c>
      <c r="S75">
        <f>IF(Tabla1[[#This Row],[dias_mora]]&gt;30,Tabla1[[#This Row],[saldo_cartera]],0)</f>
        <v>0</v>
      </c>
      <c r="T75">
        <f>Tabla1[[#This Row],[saldo_mora_30]]/Tabla1[[#This Row],[saldo_cartera]]</f>
        <v>0</v>
      </c>
      <c r="U75" t="str">
        <f>VLOOKUP(N75,asesores_ficticio!$A:$C,3,FALSE)</f>
        <v>Soacha</v>
      </c>
      <c r="V75" t="str">
        <f t="shared" si="1"/>
        <v>NO</v>
      </c>
    </row>
    <row r="76" spans="1:22" x14ac:dyDescent="0.3">
      <c r="A76" t="s">
        <v>120</v>
      </c>
      <c r="B76" t="s">
        <v>76</v>
      </c>
      <c r="C76" t="s">
        <v>77</v>
      </c>
      <c r="D76" s="1">
        <v>4782165</v>
      </c>
      <c r="E76" s="1">
        <v>-75620675</v>
      </c>
      <c r="F76" s="2">
        <v>46238</v>
      </c>
      <c r="G76" t="s">
        <v>385</v>
      </c>
      <c r="H76">
        <v>4000000</v>
      </c>
      <c r="I76">
        <v>1250334</v>
      </c>
      <c r="J76">
        <v>30</v>
      </c>
      <c r="K76" t="s">
        <v>37</v>
      </c>
      <c r="L76">
        <v>1300000</v>
      </c>
      <c r="M76" t="s">
        <v>28</v>
      </c>
      <c r="N76" t="s">
        <v>24</v>
      </c>
      <c r="O76" s="3" t="s">
        <v>370</v>
      </c>
      <c r="P76" s="3">
        <v>47</v>
      </c>
      <c r="Q76" t="s">
        <v>374</v>
      </c>
      <c r="R76" t="s">
        <v>376</v>
      </c>
      <c r="S76">
        <f>IF(Tabla1[[#This Row],[dias_mora]]&gt;30,Tabla1[[#This Row],[saldo_cartera]],0)</f>
        <v>0</v>
      </c>
      <c r="T76">
        <f>Tabla1[[#This Row],[saldo_mora_30]]/Tabla1[[#This Row],[saldo_cartera]]</f>
        <v>0</v>
      </c>
      <c r="U76" t="str">
        <f>VLOOKUP(N76,asesores_ficticio!$A:$C,3,FALSE)</f>
        <v>Soacha</v>
      </c>
      <c r="V76" t="str">
        <f t="shared" si="1"/>
        <v>NO</v>
      </c>
    </row>
    <row r="77" spans="1:22" x14ac:dyDescent="0.3">
      <c r="A77" t="s">
        <v>121</v>
      </c>
      <c r="B77" t="s">
        <v>76</v>
      </c>
      <c r="C77" t="s">
        <v>77</v>
      </c>
      <c r="D77" s="1">
        <v>478164</v>
      </c>
      <c r="E77" s="1">
        <v>-75662715</v>
      </c>
      <c r="F77" s="2">
        <v>45227</v>
      </c>
      <c r="G77" t="s">
        <v>384</v>
      </c>
      <c r="H77">
        <v>500000</v>
      </c>
      <c r="I77">
        <v>465626</v>
      </c>
      <c r="J77">
        <v>5</v>
      </c>
      <c r="K77" t="s">
        <v>17</v>
      </c>
      <c r="L77">
        <v>1600000</v>
      </c>
      <c r="M77" t="s">
        <v>31</v>
      </c>
      <c r="N77" t="s">
        <v>63</v>
      </c>
      <c r="O77" s="3" t="s">
        <v>371</v>
      </c>
      <c r="P77" s="3">
        <v>42</v>
      </c>
      <c r="Q77" t="s">
        <v>375</v>
      </c>
      <c r="R77" t="s">
        <v>373</v>
      </c>
      <c r="S77">
        <f>IF(Tabla1[[#This Row],[dias_mora]]&gt;30,Tabla1[[#This Row],[saldo_cartera]],0)</f>
        <v>0</v>
      </c>
      <c r="T77">
        <f>Tabla1[[#This Row],[saldo_mora_30]]/Tabla1[[#This Row],[saldo_cartera]]</f>
        <v>0</v>
      </c>
      <c r="U77" t="str">
        <f>VLOOKUP(N77,asesores_ficticio!$A:$C,3,FALSE)</f>
        <v>Bogotá</v>
      </c>
      <c r="V77" t="str">
        <f t="shared" si="1"/>
        <v>NO</v>
      </c>
    </row>
    <row r="78" spans="1:22" x14ac:dyDescent="0.3">
      <c r="A78" t="s">
        <v>122</v>
      </c>
      <c r="B78" t="s">
        <v>26</v>
      </c>
      <c r="C78" t="s">
        <v>21</v>
      </c>
      <c r="D78" s="1">
        <v>617193</v>
      </c>
      <c r="E78" s="1">
        <v>-75398229</v>
      </c>
      <c r="F78" s="2">
        <v>45600</v>
      </c>
      <c r="G78" t="s">
        <v>384</v>
      </c>
      <c r="H78">
        <v>4000000</v>
      </c>
      <c r="I78">
        <v>1046449</v>
      </c>
      <c r="J78">
        <v>0</v>
      </c>
      <c r="K78" t="s">
        <v>27</v>
      </c>
      <c r="L78">
        <v>3500000</v>
      </c>
      <c r="M78" t="s">
        <v>31</v>
      </c>
      <c r="N78" t="s">
        <v>61</v>
      </c>
      <c r="O78" s="3" t="s">
        <v>370</v>
      </c>
      <c r="P78" s="3">
        <v>40</v>
      </c>
      <c r="Q78" t="s">
        <v>372</v>
      </c>
      <c r="R78" t="s">
        <v>378</v>
      </c>
      <c r="S78">
        <f>IF(Tabla1[[#This Row],[dias_mora]]&gt;30,Tabla1[[#This Row],[saldo_cartera]],0)</f>
        <v>0</v>
      </c>
      <c r="T78">
        <f>Tabla1[[#This Row],[saldo_mora_30]]/Tabla1[[#This Row],[saldo_cartera]]</f>
        <v>0</v>
      </c>
      <c r="U78" t="str">
        <f>VLOOKUP(N78,asesores_ficticio!$A:$C,3,FALSE)</f>
        <v>Medellín</v>
      </c>
      <c r="V78" t="str">
        <f t="shared" si="1"/>
        <v>NO</v>
      </c>
    </row>
    <row r="79" spans="1:22" x14ac:dyDescent="0.3">
      <c r="A79" t="s">
        <v>123</v>
      </c>
      <c r="B79" t="s">
        <v>76</v>
      </c>
      <c r="C79" t="s">
        <v>77</v>
      </c>
      <c r="D79" s="1">
        <v>4792678</v>
      </c>
      <c r="E79" s="1">
        <v>-75753574</v>
      </c>
      <c r="F79" s="2">
        <v>45547</v>
      </c>
      <c r="G79" t="s">
        <v>382</v>
      </c>
      <c r="H79">
        <v>1200000</v>
      </c>
      <c r="I79">
        <v>453254</v>
      </c>
      <c r="J79">
        <v>0</v>
      </c>
      <c r="K79" t="s">
        <v>22</v>
      </c>
      <c r="L79">
        <v>1300000</v>
      </c>
      <c r="M79" t="s">
        <v>23</v>
      </c>
      <c r="N79" t="s">
        <v>38</v>
      </c>
      <c r="O79" s="3" t="s">
        <v>371</v>
      </c>
      <c r="P79" s="3">
        <v>52</v>
      </c>
      <c r="Q79" t="s">
        <v>372</v>
      </c>
      <c r="R79" t="s">
        <v>376</v>
      </c>
      <c r="S79">
        <f>IF(Tabla1[[#This Row],[dias_mora]]&gt;30,Tabla1[[#This Row],[saldo_cartera]],0)</f>
        <v>0</v>
      </c>
      <c r="T79">
        <f>Tabla1[[#This Row],[saldo_mora_30]]/Tabla1[[#This Row],[saldo_cartera]]</f>
        <v>0</v>
      </c>
      <c r="U79" t="str">
        <f>VLOOKUP(N79,asesores_ficticio!$A:$C,3,FALSE)</f>
        <v>Barranquilla</v>
      </c>
      <c r="V79" t="str">
        <f t="shared" si="1"/>
        <v>NO</v>
      </c>
    </row>
    <row r="80" spans="1:22" x14ac:dyDescent="0.3">
      <c r="A80" t="s">
        <v>124</v>
      </c>
      <c r="B80" t="s">
        <v>381</v>
      </c>
      <c r="C80" t="s">
        <v>16</v>
      </c>
      <c r="D80" s="1">
        <v>4750449</v>
      </c>
      <c r="E80" s="1">
        <v>-74097906</v>
      </c>
      <c r="F80" s="2">
        <v>46277</v>
      </c>
      <c r="G80" t="s">
        <v>384</v>
      </c>
      <c r="H80">
        <v>500000</v>
      </c>
      <c r="I80">
        <v>249041</v>
      </c>
      <c r="J80">
        <v>0</v>
      </c>
      <c r="K80" t="s">
        <v>37</v>
      </c>
      <c r="L80">
        <v>1300000</v>
      </c>
      <c r="M80" t="s">
        <v>50</v>
      </c>
      <c r="N80" t="s">
        <v>63</v>
      </c>
      <c r="O80" s="3" t="s">
        <v>371</v>
      </c>
      <c r="P80" s="3">
        <v>25</v>
      </c>
      <c r="Q80" t="s">
        <v>372</v>
      </c>
      <c r="R80" t="s">
        <v>376</v>
      </c>
      <c r="S80">
        <f>IF(Tabla1[[#This Row],[dias_mora]]&gt;30,Tabla1[[#This Row],[saldo_cartera]],0)</f>
        <v>0</v>
      </c>
      <c r="T80">
        <f>Tabla1[[#This Row],[saldo_mora_30]]/Tabla1[[#This Row],[saldo_cartera]]</f>
        <v>0</v>
      </c>
      <c r="U80" t="str">
        <f>VLOOKUP(N80,asesores_ficticio!$A:$C,3,FALSE)</f>
        <v>Bogotá</v>
      </c>
      <c r="V80" t="str">
        <f t="shared" si="1"/>
        <v>SI</v>
      </c>
    </row>
    <row r="81" spans="1:22" x14ac:dyDescent="0.3">
      <c r="A81" t="s">
        <v>125</v>
      </c>
      <c r="B81" t="s">
        <v>40</v>
      </c>
      <c r="C81" t="s">
        <v>41</v>
      </c>
      <c r="D81" s="1">
        <v>7059074</v>
      </c>
      <c r="E81" s="1">
        <v>-73143726</v>
      </c>
      <c r="F81" s="2">
        <v>45710</v>
      </c>
      <c r="G81" t="s">
        <v>385</v>
      </c>
      <c r="H81">
        <v>4000000</v>
      </c>
      <c r="I81">
        <v>2685959</v>
      </c>
      <c r="J81">
        <v>0</v>
      </c>
      <c r="K81" t="s">
        <v>37</v>
      </c>
      <c r="L81">
        <v>3500000</v>
      </c>
      <c r="M81" t="s">
        <v>50</v>
      </c>
      <c r="N81" t="s">
        <v>57</v>
      </c>
      <c r="O81" s="3" t="s">
        <v>370</v>
      </c>
      <c r="P81" s="3">
        <v>51</v>
      </c>
      <c r="Q81" t="s">
        <v>377</v>
      </c>
      <c r="R81" t="s">
        <v>378</v>
      </c>
      <c r="S81">
        <f>IF(Tabla1[[#This Row],[dias_mora]]&gt;30,Tabla1[[#This Row],[saldo_cartera]],0)</f>
        <v>0</v>
      </c>
      <c r="T81">
        <f>Tabla1[[#This Row],[saldo_mora_30]]/Tabla1[[#This Row],[saldo_cartera]]</f>
        <v>0</v>
      </c>
      <c r="U81" t="str">
        <f>VLOOKUP(N81,asesores_ficticio!$A:$C,3,FALSE)</f>
        <v>Pereira</v>
      </c>
      <c r="V81" t="str">
        <f t="shared" si="1"/>
        <v>NO</v>
      </c>
    </row>
    <row r="82" spans="1:22" x14ac:dyDescent="0.3">
      <c r="A82" t="s">
        <v>126</v>
      </c>
      <c r="B82" t="s">
        <v>40</v>
      </c>
      <c r="C82" t="s">
        <v>41</v>
      </c>
      <c r="D82" s="1">
        <v>7091781</v>
      </c>
      <c r="E82" s="1">
        <v>-73105087</v>
      </c>
      <c r="F82" s="2">
        <v>45975</v>
      </c>
      <c r="G82" t="s">
        <v>384</v>
      </c>
      <c r="H82">
        <v>4000000</v>
      </c>
      <c r="I82">
        <v>614938</v>
      </c>
      <c r="J82">
        <v>30</v>
      </c>
      <c r="K82" t="s">
        <v>22</v>
      </c>
      <c r="L82">
        <v>3500000</v>
      </c>
      <c r="M82" t="s">
        <v>50</v>
      </c>
      <c r="N82" t="s">
        <v>61</v>
      </c>
      <c r="O82" s="3" t="s">
        <v>371</v>
      </c>
      <c r="P82" s="3">
        <v>36</v>
      </c>
      <c r="Q82" t="s">
        <v>374</v>
      </c>
      <c r="R82" t="s">
        <v>378</v>
      </c>
      <c r="S82">
        <f>IF(Tabla1[[#This Row],[dias_mora]]&gt;30,Tabla1[[#This Row],[saldo_cartera]],0)</f>
        <v>0</v>
      </c>
      <c r="T82">
        <f>Tabla1[[#This Row],[saldo_mora_30]]/Tabla1[[#This Row],[saldo_cartera]]</f>
        <v>0</v>
      </c>
      <c r="U82" t="str">
        <f>VLOOKUP(N82,asesores_ficticio!$A:$C,3,FALSE)</f>
        <v>Medellín</v>
      </c>
      <c r="V82" t="str">
        <f t="shared" si="1"/>
        <v>NO</v>
      </c>
    </row>
    <row r="83" spans="1:22" x14ac:dyDescent="0.3">
      <c r="A83" t="s">
        <v>127</v>
      </c>
      <c r="B83" t="s">
        <v>381</v>
      </c>
      <c r="C83" t="s">
        <v>16</v>
      </c>
      <c r="D83" s="1">
        <v>4790348</v>
      </c>
      <c r="E83" s="1">
        <v>-74133521</v>
      </c>
      <c r="F83" s="2">
        <v>45985</v>
      </c>
      <c r="G83" t="s">
        <v>383</v>
      </c>
      <c r="H83">
        <v>800000</v>
      </c>
      <c r="I83">
        <v>683336</v>
      </c>
      <c r="J83">
        <v>0</v>
      </c>
      <c r="K83" t="s">
        <v>17</v>
      </c>
      <c r="L83">
        <v>2000000</v>
      </c>
      <c r="M83" t="s">
        <v>18</v>
      </c>
      <c r="N83" t="s">
        <v>32</v>
      </c>
      <c r="O83" s="3" t="s">
        <v>371</v>
      </c>
      <c r="P83" s="3">
        <v>36</v>
      </c>
      <c r="Q83" t="s">
        <v>377</v>
      </c>
      <c r="R83" t="s">
        <v>373</v>
      </c>
      <c r="S83">
        <f>IF(Tabla1[[#This Row],[dias_mora]]&gt;30,Tabla1[[#This Row],[saldo_cartera]],0)</f>
        <v>0</v>
      </c>
      <c r="T83">
        <f>Tabla1[[#This Row],[saldo_mora_30]]/Tabla1[[#This Row],[saldo_cartera]]</f>
        <v>0</v>
      </c>
      <c r="U83" t="str">
        <f>VLOOKUP(N83,asesores_ficticio!$A:$C,3,FALSE)</f>
        <v>Cali</v>
      </c>
      <c r="V83" t="str">
        <f t="shared" si="1"/>
        <v>NO</v>
      </c>
    </row>
    <row r="84" spans="1:22" x14ac:dyDescent="0.3">
      <c r="A84" t="s">
        <v>128</v>
      </c>
      <c r="B84" t="s">
        <v>46</v>
      </c>
      <c r="C84" t="s">
        <v>21</v>
      </c>
      <c r="D84" s="1">
        <v>6390691</v>
      </c>
      <c r="E84" s="1">
        <v>-75539496</v>
      </c>
      <c r="F84" s="2">
        <v>46140</v>
      </c>
      <c r="G84" t="s">
        <v>382</v>
      </c>
      <c r="H84">
        <v>1200000</v>
      </c>
      <c r="I84">
        <v>153371</v>
      </c>
      <c r="J84">
        <v>0</v>
      </c>
      <c r="K84" t="s">
        <v>48</v>
      </c>
      <c r="L84">
        <v>2000000</v>
      </c>
      <c r="M84" t="s">
        <v>23</v>
      </c>
      <c r="N84" t="s">
        <v>35</v>
      </c>
      <c r="O84" s="3" t="s">
        <v>371</v>
      </c>
      <c r="P84" s="3">
        <v>39</v>
      </c>
      <c r="Q84" t="s">
        <v>372</v>
      </c>
      <c r="R84" t="s">
        <v>373</v>
      </c>
      <c r="S84">
        <f>IF(Tabla1[[#This Row],[dias_mora]]&gt;30,Tabla1[[#This Row],[saldo_cartera]],0)</f>
        <v>0</v>
      </c>
      <c r="T84">
        <f>Tabla1[[#This Row],[saldo_mora_30]]/Tabla1[[#This Row],[saldo_cartera]]</f>
        <v>0</v>
      </c>
      <c r="U84" t="str">
        <f>VLOOKUP(N84,asesores_ficticio!$A:$C,3,FALSE)</f>
        <v>Bucaramanga</v>
      </c>
      <c r="V84" t="str">
        <f t="shared" si="1"/>
        <v>NO</v>
      </c>
    </row>
    <row r="85" spans="1:22" x14ac:dyDescent="0.3">
      <c r="A85" t="s">
        <v>129</v>
      </c>
      <c r="B85" t="s">
        <v>15</v>
      </c>
      <c r="C85" t="s">
        <v>16</v>
      </c>
      <c r="D85" s="1">
        <v>4508988</v>
      </c>
      <c r="E85" s="1">
        <v>-74252459</v>
      </c>
      <c r="F85" s="2">
        <v>45617</v>
      </c>
      <c r="G85" t="s">
        <v>384</v>
      </c>
      <c r="H85">
        <v>500000</v>
      </c>
      <c r="I85">
        <v>453330</v>
      </c>
      <c r="J85">
        <v>30</v>
      </c>
      <c r="K85" t="s">
        <v>48</v>
      </c>
      <c r="L85">
        <v>900000</v>
      </c>
      <c r="M85" t="s">
        <v>23</v>
      </c>
      <c r="N85" t="s">
        <v>29</v>
      </c>
      <c r="O85" s="3" t="s">
        <v>371</v>
      </c>
      <c r="P85" s="3">
        <v>25</v>
      </c>
      <c r="Q85" t="s">
        <v>374</v>
      </c>
      <c r="R85" t="s">
        <v>376</v>
      </c>
      <c r="S85">
        <f>IF(Tabla1[[#This Row],[dias_mora]]&gt;30,Tabla1[[#This Row],[saldo_cartera]],0)</f>
        <v>0</v>
      </c>
      <c r="T85">
        <f>Tabla1[[#This Row],[saldo_mora_30]]/Tabla1[[#This Row],[saldo_cartera]]</f>
        <v>0</v>
      </c>
      <c r="U85" t="str">
        <f>VLOOKUP(N85,asesores_ficticio!$A:$C,3,FALSE)</f>
        <v>Rionegro</v>
      </c>
      <c r="V85" t="str">
        <f t="shared" si="1"/>
        <v>NO</v>
      </c>
    </row>
    <row r="86" spans="1:22" x14ac:dyDescent="0.3">
      <c r="A86" t="s">
        <v>130</v>
      </c>
      <c r="B86" t="s">
        <v>380</v>
      </c>
      <c r="C86" t="s">
        <v>21</v>
      </c>
      <c r="D86" s="1">
        <v>6217816</v>
      </c>
      <c r="E86" s="1">
        <v>-75659367</v>
      </c>
      <c r="F86" s="2">
        <v>45468</v>
      </c>
      <c r="G86" t="s">
        <v>385</v>
      </c>
      <c r="H86">
        <v>6000000</v>
      </c>
      <c r="I86">
        <v>4502303</v>
      </c>
      <c r="J86">
        <v>0</v>
      </c>
      <c r="K86" t="s">
        <v>17</v>
      </c>
      <c r="L86">
        <v>1300000</v>
      </c>
      <c r="M86" t="s">
        <v>50</v>
      </c>
      <c r="N86" t="s">
        <v>63</v>
      </c>
      <c r="O86" s="3" t="s">
        <v>371</v>
      </c>
      <c r="P86" s="3">
        <v>32</v>
      </c>
      <c r="Q86" t="s">
        <v>377</v>
      </c>
      <c r="R86" t="s">
        <v>376</v>
      </c>
      <c r="S86">
        <f>IF(Tabla1[[#This Row],[dias_mora]]&gt;30,Tabla1[[#This Row],[saldo_cartera]],0)</f>
        <v>0</v>
      </c>
      <c r="T86">
        <f>Tabla1[[#This Row],[saldo_mora_30]]/Tabla1[[#This Row],[saldo_cartera]]</f>
        <v>0</v>
      </c>
      <c r="U86" t="str">
        <f>VLOOKUP(N86,asesores_ficticio!$A:$C,3,FALSE)</f>
        <v>Bogotá</v>
      </c>
      <c r="V86" t="str">
        <f t="shared" si="1"/>
        <v>NO</v>
      </c>
    </row>
    <row r="87" spans="1:22" x14ac:dyDescent="0.3">
      <c r="A87" t="s">
        <v>131</v>
      </c>
      <c r="B87" t="s">
        <v>380</v>
      </c>
      <c r="C87" t="s">
        <v>21</v>
      </c>
      <c r="D87" s="1">
        <v>6249904</v>
      </c>
      <c r="E87" s="1">
        <v>-75605766</v>
      </c>
      <c r="F87" s="2">
        <v>45303</v>
      </c>
      <c r="G87" t="s">
        <v>385</v>
      </c>
      <c r="H87">
        <v>6000000</v>
      </c>
      <c r="I87">
        <v>1489935</v>
      </c>
      <c r="J87">
        <v>5</v>
      </c>
      <c r="K87" t="s">
        <v>17</v>
      </c>
      <c r="L87">
        <v>900000</v>
      </c>
      <c r="M87" t="s">
        <v>23</v>
      </c>
      <c r="N87" t="s">
        <v>61</v>
      </c>
      <c r="O87" s="3" t="s">
        <v>371</v>
      </c>
      <c r="P87" s="3">
        <v>37</v>
      </c>
      <c r="Q87" t="s">
        <v>375</v>
      </c>
      <c r="R87" t="s">
        <v>376</v>
      </c>
      <c r="S87">
        <f>IF(Tabla1[[#This Row],[dias_mora]]&gt;30,Tabla1[[#This Row],[saldo_cartera]],0)</f>
        <v>0</v>
      </c>
      <c r="T87">
        <f>Tabla1[[#This Row],[saldo_mora_30]]/Tabla1[[#This Row],[saldo_cartera]]</f>
        <v>0</v>
      </c>
      <c r="U87" t="str">
        <f>VLOOKUP(N87,asesores_ficticio!$A:$C,3,FALSE)</f>
        <v>Medellín</v>
      </c>
      <c r="V87" t="str">
        <f t="shared" si="1"/>
        <v>NO</v>
      </c>
    </row>
    <row r="88" spans="1:22" x14ac:dyDescent="0.3">
      <c r="A88" t="s">
        <v>132</v>
      </c>
      <c r="B88" t="s">
        <v>380</v>
      </c>
      <c r="C88" t="s">
        <v>21</v>
      </c>
      <c r="D88" s="1">
        <v>6134359</v>
      </c>
      <c r="E88" s="1">
        <v>-75671919</v>
      </c>
      <c r="F88" s="2">
        <v>46190</v>
      </c>
      <c r="G88" t="s">
        <v>384</v>
      </c>
      <c r="H88">
        <v>1800000</v>
      </c>
      <c r="I88">
        <v>984911</v>
      </c>
      <c r="J88">
        <v>15</v>
      </c>
      <c r="K88" t="s">
        <v>37</v>
      </c>
      <c r="L88">
        <v>2000000</v>
      </c>
      <c r="M88" t="s">
        <v>28</v>
      </c>
      <c r="N88" t="s">
        <v>29</v>
      </c>
      <c r="O88" s="3" t="s">
        <v>371</v>
      </c>
      <c r="P88" s="3">
        <v>61</v>
      </c>
      <c r="Q88" t="s">
        <v>375</v>
      </c>
      <c r="R88" t="s">
        <v>373</v>
      </c>
      <c r="S88">
        <f>IF(Tabla1[[#This Row],[dias_mora]]&gt;30,Tabla1[[#This Row],[saldo_cartera]],0)</f>
        <v>0</v>
      </c>
      <c r="T88">
        <f>Tabla1[[#This Row],[saldo_mora_30]]/Tabla1[[#This Row],[saldo_cartera]]</f>
        <v>0</v>
      </c>
      <c r="U88" t="str">
        <f>VLOOKUP(N88,asesores_ficticio!$A:$C,3,FALSE)</f>
        <v>Rionegro</v>
      </c>
      <c r="V88" t="str">
        <f t="shared" si="1"/>
        <v>NO</v>
      </c>
    </row>
    <row r="89" spans="1:22" x14ac:dyDescent="0.3">
      <c r="A89" t="s">
        <v>133</v>
      </c>
      <c r="B89" t="s">
        <v>76</v>
      </c>
      <c r="C89" t="s">
        <v>77</v>
      </c>
      <c r="D89" s="1">
        <v>4741238</v>
      </c>
      <c r="E89" s="1">
        <v>-75649284</v>
      </c>
      <c r="F89" s="2">
        <v>44942</v>
      </c>
      <c r="G89" t="s">
        <v>383</v>
      </c>
      <c r="H89">
        <v>6000000</v>
      </c>
      <c r="I89">
        <v>3960406</v>
      </c>
      <c r="J89">
        <v>0</v>
      </c>
      <c r="K89" t="s">
        <v>37</v>
      </c>
      <c r="L89">
        <v>3500000</v>
      </c>
      <c r="M89" t="s">
        <v>50</v>
      </c>
      <c r="N89" t="s">
        <v>38</v>
      </c>
      <c r="O89" s="3" t="s">
        <v>371</v>
      </c>
      <c r="P89" s="3">
        <v>34</v>
      </c>
      <c r="Q89" t="s">
        <v>377</v>
      </c>
      <c r="R89" t="s">
        <v>378</v>
      </c>
      <c r="S89">
        <f>IF(Tabla1[[#This Row],[dias_mora]]&gt;30,Tabla1[[#This Row],[saldo_cartera]],0)</f>
        <v>0</v>
      </c>
      <c r="T89">
        <f>Tabla1[[#This Row],[saldo_mora_30]]/Tabla1[[#This Row],[saldo_cartera]]</f>
        <v>0</v>
      </c>
      <c r="U89" t="str">
        <f>VLOOKUP(N89,asesores_ficticio!$A:$C,3,FALSE)</f>
        <v>Barranquilla</v>
      </c>
      <c r="V89" t="str">
        <f t="shared" si="1"/>
        <v>NO</v>
      </c>
    </row>
    <row r="90" spans="1:22" x14ac:dyDescent="0.3">
      <c r="A90" t="s">
        <v>134</v>
      </c>
      <c r="B90" t="s">
        <v>34</v>
      </c>
      <c r="C90" t="s">
        <v>386</v>
      </c>
      <c r="D90" s="1">
        <v>10895659</v>
      </c>
      <c r="E90" s="1">
        <v>-74863474</v>
      </c>
      <c r="F90" s="2">
        <v>45858</v>
      </c>
      <c r="G90" t="s">
        <v>382</v>
      </c>
      <c r="H90">
        <v>2500000</v>
      </c>
      <c r="I90">
        <v>565209</v>
      </c>
      <c r="J90">
        <v>0</v>
      </c>
      <c r="K90" t="s">
        <v>37</v>
      </c>
      <c r="L90">
        <v>2800000</v>
      </c>
      <c r="M90" t="s">
        <v>28</v>
      </c>
      <c r="N90" t="s">
        <v>57</v>
      </c>
      <c r="O90" s="3" t="s">
        <v>370</v>
      </c>
      <c r="P90" s="3">
        <v>50</v>
      </c>
      <c r="Q90" t="s">
        <v>372</v>
      </c>
      <c r="R90" t="s">
        <v>373</v>
      </c>
      <c r="S90">
        <f>IF(Tabla1[[#This Row],[dias_mora]]&gt;30,Tabla1[[#This Row],[saldo_cartera]],0)</f>
        <v>0</v>
      </c>
      <c r="T90">
        <f>Tabla1[[#This Row],[saldo_mora_30]]/Tabla1[[#This Row],[saldo_cartera]]</f>
        <v>0</v>
      </c>
      <c r="U90" t="str">
        <f>VLOOKUP(N90,asesores_ficticio!$A:$C,3,FALSE)</f>
        <v>Pereira</v>
      </c>
      <c r="V90" t="str">
        <f t="shared" si="1"/>
        <v>NO</v>
      </c>
    </row>
    <row r="91" spans="1:22" x14ac:dyDescent="0.3">
      <c r="A91" t="s">
        <v>135</v>
      </c>
      <c r="B91" t="s">
        <v>70</v>
      </c>
      <c r="C91" t="s">
        <v>71</v>
      </c>
      <c r="D91" s="1">
        <v>3387469</v>
      </c>
      <c r="E91" s="1">
        <v>-76499715</v>
      </c>
      <c r="F91" s="2">
        <v>45488</v>
      </c>
      <c r="G91" t="s">
        <v>385</v>
      </c>
      <c r="H91">
        <v>6000000</v>
      </c>
      <c r="I91">
        <v>3939036</v>
      </c>
      <c r="J91">
        <v>45</v>
      </c>
      <c r="K91" t="s">
        <v>37</v>
      </c>
      <c r="L91">
        <v>2800000</v>
      </c>
      <c r="M91" t="s">
        <v>23</v>
      </c>
      <c r="N91" t="s">
        <v>38</v>
      </c>
      <c r="O91" s="3" t="s">
        <v>370</v>
      </c>
      <c r="P91" s="3">
        <v>64</v>
      </c>
      <c r="Q91" t="s">
        <v>374</v>
      </c>
      <c r="R91" t="s">
        <v>373</v>
      </c>
      <c r="S91">
        <f>IF(Tabla1[[#This Row],[dias_mora]]&gt;30,Tabla1[[#This Row],[saldo_cartera]],0)</f>
        <v>3939036</v>
      </c>
      <c r="T91">
        <f>Tabla1[[#This Row],[saldo_mora_30]]/Tabla1[[#This Row],[saldo_cartera]]</f>
        <v>1</v>
      </c>
      <c r="U91" t="str">
        <f>VLOOKUP(N91,asesores_ficticio!$A:$C,3,FALSE)</f>
        <v>Barranquilla</v>
      </c>
      <c r="V91" t="str">
        <f t="shared" si="1"/>
        <v>NO</v>
      </c>
    </row>
    <row r="92" spans="1:22" x14ac:dyDescent="0.3">
      <c r="A92" t="s">
        <v>136</v>
      </c>
      <c r="B92" t="s">
        <v>70</v>
      </c>
      <c r="C92" t="s">
        <v>71</v>
      </c>
      <c r="D92" s="1">
        <v>3438158</v>
      </c>
      <c r="E92" s="1">
        <v>-76596786</v>
      </c>
      <c r="F92" s="2">
        <v>46056</v>
      </c>
      <c r="G92" t="s">
        <v>384</v>
      </c>
      <c r="H92">
        <v>1800000</v>
      </c>
      <c r="I92">
        <v>658161</v>
      </c>
      <c r="J92">
        <v>0</v>
      </c>
      <c r="K92" t="s">
        <v>48</v>
      </c>
      <c r="L92">
        <v>1300000</v>
      </c>
      <c r="M92" t="s">
        <v>31</v>
      </c>
      <c r="N92" t="s">
        <v>19</v>
      </c>
      <c r="O92" s="3" t="s">
        <v>371</v>
      </c>
      <c r="P92" s="3">
        <v>56</v>
      </c>
      <c r="Q92" t="s">
        <v>372</v>
      </c>
      <c r="R92" t="s">
        <v>376</v>
      </c>
      <c r="S92">
        <f>IF(Tabla1[[#This Row],[dias_mora]]&gt;30,Tabla1[[#This Row],[saldo_cartera]],0)</f>
        <v>0</v>
      </c>
      <c r="T92">
        <f>Tabla1[[#This Row],[saldo_mora_30]]/Tabla1[[#This Row],[saldo_cartera]]</f>
        <v>0</v>
      </c>
      <c r="U92" t="str">
        <f>VLOOKUP(N92,asesores_ficticio!$A:$C,3,FALSE)</f>
        <v>Bello</v>
      </c>
      <c r="V92" t="str">
        <f t="shared" si="1"/>
        <v>NO</v>
      </c>
    </row>
    <row r="93" spans="1:22" x14ac:dyDescent="0.3">
      <c r="A93" t="s">
        <v>137</v>
      </c>
      <c r="B93" t="s">
        <v>15</v>
      </c>
      <c r="C93" t="s">
        <v>16</v>
      </c>
      <c r="D93" s="1">
        <v>4629183</v>
      </c>
      <c r="E93" s="1">
        <v>-74207581</v>
      </c>
      <c r="F93" s="2">
        <v>45119</v>
      </c>
      <c r="G93" t="s">
        <v>383</v>
      </c>
      <c r="H93">
        <v>2500000</v>
      </c>
      <c r="I93">
        <v>2282827</v>
      </c>
      <c r="J93">
        <v>0</v>
      </c>
      <c r="K93" t="s">
        <v>48</v>
      </c>
      <c r="L93">
        <v>3500000</v>
      </c>
      <c r="M93" t="s">
        <v>23</v>
      </c>
      <c r="N93" t="s">
        <v>57</v>
      </c>
      <c r="O93" s="3" t="s">
        <v>370</v>
      </c>
      <c r="P93" s="3">
        <v>42</v>
      </c>
      <c r="Q93" t="s">
        <v>377</v>
      </c>
      <c r="R93" t="s">
        <v>378</v>
      </c>
      <c r="S93">
        <f>IF(Tabla1[[#This Row],[dias_mora]]&gt;30,Tabla1[[#This Row],[saldo_cartera]],0)</f>
        <v>0</v>
      </c>
      <c r="T93">
        <f>Tabla1[[#This Row],[saldo_mora_30]]/Tabla1[[#This Row],[saldo_cartera]]</f>
        <v>0</v>
      </c>
      <c r="U93" t="str">
        <f>VLOOKUP(N93,asesores_ficticio!$A:$C,3,FALSE)</f>
        <v>Pereira</v>
      </c>
      <c r="V93" t="str">
        <f t="shared" si="1"/>
        <v>NO</v>
      </c>
    </row>
    <row r="94" spans="1:22" x14ac:dyDescent="0.3">
      <c r="A94" t="s">
        <v>138</v>
      </c>
      <c r="B94" t="s">
        <v>381</v>
      </c>
      <c r="C94" t="s">
        <v>16</v>
      </c>
      <c r="D94" s="1">
        <v>4687263</v>
      </c>
      <c r="E94" s="1">
        <v>-74059633</v>
      </c>
      <c r="F94" s="2">
        <v>45912</v>
      </c>
      <c r="G94" t="s">
        <v>384</v>
      </c>
      <c r="H94">
        <v>800000</v>
      </c>
      <c r="I94">
        <v>185217</v>
      </c>
      <c r="J94">
        <v>0</v>
      </c>
      <c r="K94" t="s">
        <v>27</v>
      </c>
      <c r="L94">
        <v>900000</v>
      </c>
      <c r="M94" t="s">
        <v>28</v>
      </c>
      <c r="N94" t="s">
        <v>29</v>
      </c>
      <c r="O94" s="3" t="s">
        <v>370</v>
      </c>
      <c r="P94" s="3">
        <v>30</v>
      </c>
      <c r="Q94" t="s">
        <v>372</v>
      </c>
      <c r="R94" t="s">
        <v>376</v>
      </c>
      <c r="S94">
        <f>IF(Tabla1[[#This Row],[dias_mora]]&gt;30,Tabla1[[#This Row],[saldo_cartera]],0)</f>
        <v>0</v>
      </c>
      <c r="T94">
        <f>Tabla1[[#This Row],[saldo_mora_30]]/Tabla1[[#This Row],[saldo_cartera]]</f>
        <v>0</v>
      </c>
      <c r="U94" t="str">
        <f>VLOOKUP(N94,asesores_ficticio!$A:$C,3,FALSE)</f>
        <v>Rionegro</v>
      </c>
      <c r="V94" t="str">
        <f t="shared" si="1"/>
        <v>NO</v>
      </c>
    </row>
    <row r="95" spans="1:22" x14ac:dyDescent="0.3">
      <c r="A95" t="s">
        <v>139</v>
      </c>
      <c r="B95" t="s">
        <v>70</v>
      </c>
      <c r="C95" t="s">
        <v>71</v>
      </c>
      <c r="D95" s="1">
        <v>3506825</v>
      </c>
      <c r="E95" s="1">
        <v>-76456073</v>
      </c>
      <c r="F95" s="2">
        <v>45221</v>
      </c>
      <c r="G95" t="s">
        <v>382</v>
      </c>
      <c r="H95">
        <v>6000000</v>
      </c>
      <c r="I95">
        <v>3770791</v>
      </c>
      <c r="J95">
        <v>5</v>
      </c>
      <c r="K95" t="s">
        <v>48</v>
      </c>
      <c r="L95">
        <v>2800000</v>
      </c>
      <c r="M95" t="s">
        <v>18</v>
      </c>
      <c r="N95" t="s">
        <v>63</v>
      </c>
      <c r="O95" s="3" t="s">
        <v>370</v>
      </c>
      <c r="P95" s="3">
        <v>54</v>
      </c>
      <c r="Q95" t="s">
        <v>375</v>
      </c>
      <c r="R95" t="s">
        <v>373</v>
      </c>
      <c r="S95">
        <f>IF(Tabla1[[#This Row],[dias_mora]]&gt;30,Tabla1[[#This Row],[saldo_cartera]],0)</f>
        <v>0</v>
      </c>
      <c r="T95">
        <f>Tabla1[[#This Row],[saldo_mora_30]]/Tabla1[[#This Row],[saldo_cartera]]</f>
        <v>0</v>
      </c>
      <c r="U95" t="str">
        <f>VLOOKUP(N95,asesores_ficticio!$A:$C,3,FALSE)</f>
        <v>Bogotá</v>
      </c>
      <c r="V95" t="str">
        <f t="shared" si="1"/>
        <v>NO</v>
      </c>
    </row>
    <row r="96" spans="1:22" x14ac:dyDescent="0.3">
      <c r="A96" t="s">
        <v>140</v>
      </c>
      <c r="B96" t="s">
        <v>381</v>
      </c>
      <c r="C96" t="s">
        <v>16</v>
      </c>
      <c r="D96" s="1">
        <v>4778446</v>
      </c>
      <c r="E96" s="1">
        <v>-74095936</v>
      </c>
      <c r="F96" s="2">
        <v>45009</v>
      </c>
      <c r="G96" t="s">
        <v>384</v>
      </c>
      <c r="H96">
        <v>800000</v>
      </c>
      <c r="I96">
        <v>671507</v>
      </c>
      <c r="J96">
        <v>0</v>
      </c>
      <c r="K96" t="s">
        <v>48</v>
      </c>
      <c r="L96">
        <v>2000000</v>
      </c>
      <c r="M96" t="s">
        <v>28</v>
      </c>
      <c r="N96" t="s">
        <v>29</v>
      </c>
      <c r="O96" s="3" t="s">
        <v>370</v>
      </c>
      <c r="P96" s="3">
        <v>57</v>
      </c>
      <c r="Q96" t="s">
        <v>377</v>
      </c>
      <c r="R96" t="s">
        <v>373</v>
      </c>
      <c r="S96">
        <f>IF(Tabla1[[#This Row],[dias_mora]]&gt;30,Tabla1[[#This Row],[saldo_cartera]],0)</f>
        <v>0</v>
      </c>
      <c r="T96">
        <f>Tabla1[[#This Row],[saldo_mora_30]]/Tabla1[[#This Row],[saldo_cartera]]</f>
        <v>0</v>
      </c>
      <c r="U96" t="str">
        <f>VLOOKUP(N96,asesores_ficticio!$A:$C,3,FALSE)</f>
        <v>Rionegro</v>
      </c>
      <c r="V96" t="str">
        <f t="shared" si="1"/>
        <v>NO</v>
      </c>
    </row>
    <row r="97" spans="1:22" x14ac:dyDescent="0.3">
      <c r="A97" t="s">
        <v>141</v>
      </c>
      <c r="B97" t="s">
        <v>70</v>
      </c>
      <c r="C97" t="s">
        <v>71</v>
      </c>
      <c r="D97" s="1">
        <v>3438773</v>
      </c>
      <c r="E97" s="1">
        <v>-76557457</v>
      </c>
      <c r="F97" s="2">
        <v>44931</v>
      </c>
      <c r="G97" t="s">
        <v>385</v>
      </c>
      <c r="H97">
        <v>1200000</v>
      </c>
      <c r="I97">
        <v>437870</v>
      </c>
      <c r="J97">
        <v>0</v>
      </c>
      <c r="K97" t="s">
        <v>17</v>
      </c>
      <c r="L97">
        <v>2800000</v>
      </c>
      <c r="M97" t="s">
        <v>50</v>
      </c>
      <c r="N97" t="s">
        <v>19</v>
      </c>
      <c r="O97" s="3" t="s">
        <v>370</v>
      </c>
      <c r="P97" s="3">
        <v>61</v>
      </c>
      <c r="Q97" t="s">
        <v>372</v>
      </c>
      <c r="R97" t="s">
        <v>373</v>
      </c>
      <c r="S97">
        <f>IF(Tabla1[[#This Row],[dias_mora]]&gt;30,Tabla1[[#This Row],[saldo_cartera]],0)</f>
        <v>0</v>
      </c>
      <c r="T97">
        <f>Tabla1[[#This Row],[saldo_mora_30]]/Tabla1[[#This Row],[saldo_cartera]]</f>
        <v>0</v>
      </c>
      <c r="U97" t="str">
        <f>VLOOKUP(N97,asesores_ficticio!$A:$C,3,FALSE)</f>
        <v>Bello</v>
      </c>
      <c r="V97" t="str">
        <f t="shared" si="1"/>
        <v>NO</v>
      </c>
    </row>
    <row r="98" spans="1:22" x14ac:dyDescent="0.3">
      <c r="A98" t="s">
        <v>142</v>
      </c>
      <c r="B98" t="s">
        <v>381</v>
      </c>
      <c r="C98" t="s">
        <v>16</v>
      </c>
      <c r="D98" s="1">
        <v>4701898</v>
      </c>
      <c r="E98" s="1">
        <v>-74084258</v>
      </c>
      <c r="F98" s="2">
        <v>45091</v>
      </c>
      <c r="G98" t="s">
        <v>384</v>
      </c>
      <c r="H98">
        <v>2500000</v>
      </c>
      <c r="I98">
        <v>1189344</v>
      </c>
      <c r="J98">
        <v>0</v>
      </c>
      <c r="K98" t="s">
        <v>27</v>
      </c>
      <c r="L98">
        <v>2800000</v>
      </c>
      <c r="M98" t="s">
        <v>28</v>
      </c>
      <c r="N98" t="s">
        <v>38</v>
      </c>
      <c r="O98" s="3" t="s">
        <v>371</v>
      </c>
      <c r="P98" s="3">
        <v>57</v>
      </c>
      <c r="Q98" t="s">
        <v>372</v>
      </c>
      <c r="R98" t="s">
        <v>373</v>
      </c>
      <c r="S98">
        <f>IF(Tabla1[[#This Row],[dias_mora]]&gt;30,Tabla1[[#This Row],[saldo_cartera]],0)</f>
        <v>0</v>
      </c>
      <c r="T98">
        <f>Tabla1[[#This Row],[saldo_mora_30]]/Tabla1[[#This Row],[saldo_cartera]]</f>
        <v>0</v>
      </c>
      <c r="U98" t="str">
        <f>VLOOKUP(N98,asesores_ficticio!$A:$C,3,FALSE)</f>
        <v>Barranquilla</v>
      </c>
      <c r="V98" t="str">
        <f t="shared" si="1"/>
        <v>NO</v>
      </c>
    </row>
    <row r="99" spans="1:22" x14ac:dyDescent="0.3">
      <c r="A99" t="s">
        <v>143</v>
      </c>
      <c r="B99" t="s">
        <v>40</v>
      </c>
      <c r="C99" t="s">
        <v>41</v>
      </c>
      <c r="D99" s="1">
        <v>7146041</v>
      </c>
      <c r="E99" s="1">
        <v>-73195433</v>
      </c>
      <c r="F99" s="2">
        <v>45772</v>
      </c>
      <c r="G99" t="s">
        <v>385</v>
      </c>
      <c r="H99">
        <v>1800000</v>
      </c>
      <c r="I99">
        <v>1686202</v>
      </c>
      <c r="J99">
        <v>0</v>
      </c>
      <c r="K99" t="s">
        <v>27</v>
      </c>
      <c r="L99">
        <v>1300000</v>
      </c>
      <c r="M99" t="s">
        <v>23</v>
      </c>
      <c r="N99" t="s">
        <v>24</v>
      </c>
      <c r="O99" s="3" t="s">
        <v>371</v>
      </c>
      <c r="P99" s="3">
        <v>60</v>
      </c>
      <c r="Q99" t="s">
        <v>377</v>
      </c>
      <c r="R99" t="s">
        <v>376</v>
      </c>
      <c r="S99">
        <f>IF(Tabla1[[#This Row],[dias_mora]]&gt;30,Tabla1[[#This Row],[saldo_cartera]],0)</f>
        <v>0</v>
      </c>
      <c r="T99">
        <f>Tabla1[[#This Row],[saldo_mora_30]]/Tabla1[[#This Row],[saldo_cartera]]</f>
        <v>0</v>
      </c>
      <c r="U99" t="str">
        <f>VLOOKUP(N99,asesores_ficticio!$A:$C,3,FALSE)</f>
        <v>Soacha</v>
      </c>
      <c r="V99" t="str">
        <f t="shared" si="1"/>
        <v>NO</v>
      </c>
    </row>
    <row r="100" spans="1:22" x14ac:dyDescent="0.3">
      <c r="A100" t="s">
        <v>144</v>
      </c>
      <c r="B100" t="s">
        <v>46</v>
      </c>
      <c r="C100" t="s">
        <v>21</v>
      </c>
      <c r="D100" s="1">
        <v>6258537</v>
      </c>
      <c r="E100" s="1">
        <v>-75518478</v>
      </c>
      <c r="F100" s="2">
        <v>45701</v>
      </c>
      <c r="G100" t="s">
        <v>384</v>
      </c>
      <c r="H100">
        <v>800000</v>
      </c>
      <c r="I100">
        <v>167846</v>
      </c>
      <c r="J100">
        <v>0</v>
      </c>
      <c r="K100" t="s">
        <v>37</v>
      </c>
      <c r="L100">
        <v>1300000</v>
      </c>
      <c r="M100" t="s">
        <v>50</v>
      </c>
      <c r="N100" t="s">
        <v>38</v>
      </c>
      <c r="O100" s="3" t="s">
        <v>371</v>
      </c>
      <c r="P100" s="3">
        <v>36</v>
      </c>
      <c r="Q100" t="s">
        <v>372</v>
      </c>
      <c r="R100" t="s">
        <v>376</v>
      </c>
      <c r="S100">
        <f>IF(Tabla1[[#This Row],[dias_mora]]&gt;30,Tabla1[[#This Row],[saldo_cartera]],0)</f>
        <v>0</v>
      </c>
      <c r="T100">
        <f>Tabla1[[#This Row],[saldo_mora_30]]/Tabla1[[#This Row],[saldo_cartera]]</f>
        <v>0</v>
      </c>
      <c r="U100" t="str">
        <f>VLOOKUP(N100,asesores_ficticio!$A:$C,3,FALSE)</f>
        <v>Barranquilla</v>
      </c>
      <c r="V100" t="str">
        <f t="shared" si="1"/>
        <v>NO</v>
      </c>
    </row>
    <row r="101" spans="1:22" x14ac:dyDescent="0.3">
      <c r="A101" t="s">
        <v>145</v>
      </c>
      <c r="B101" t="s">
        <v>46</v>
      </c>
      <c r="C101" t="s">
        <v>21</v>
      </c>
      <c r="D101" s="1">
        <v>6395238</v>
      </c>
      <c r="E101" s="1">
        <v>-75545879</v>
      </c>
      <c r="F101" s="2">
        <v>45108</v>
      </c>
      <c r="G101" t="s">
        <v>382</v>
      </c>
      <c r="H101">
        <v>2500000</v>
      </c>
      <c r="I101">
        <v>1109399</v>
      </c>
      <c r="J101">
        <v>5</v>
      </c>
      <c r="K101" t="s">
        <v>22</v>
      </c>
      <c r="L101">
        <v>1600000</v>
      </c>
      <c r="M101" t="s">
        <v>28</v>
      </c>
      <c r="N101" t="s">
        <v>38</v>
      </c>
      <c r="O101" s="3" t="s">
        <v>371</v>
      </c>
      <c r="P101" s="3">
        <v>32</v>
      </c>
      <c r="Q101" t="s">
        <v>375</v>
      </c>
      <c r="R101" t="s">
        <v>373</v>
      </c>
      <c r="S101">
        <f>IF(Tabla1[[#This Row],[dias_mora]]&gt;30,Tabla1[[#This Row],[saldo_cartera]],0)</f>
        <v>0</v>
      </c>
      <c r="T101">
        <f>Tabla1[[#This Row],[saldo_mora_30]]/Tabla1[[#This Row],[saldo_cartera]]</f>
        <v>0</v>
      </c>
      <c r="U101" t="str">
        <f>VLOOKUP(N101,asesores_ficticio!$A:$C,3,FALSE)</f>
        <v>Barranquilla</v>
      </c>
      <c r="V101" t="str">
        <f t="shared" si="1"/>
        <v>NO</v>
      </c>
    </row>
    <row r="102" spans="1:22" x14ac:dyDescent="0.3">
      <c r="A102" t="s">
        <v>146</v>
      </c>
      <c r="B102" t="s">
        <v>15</v>
      </c>
      <c r="C102" t="s">
        <v>16</v>
      </c>
      <c r="D102" s="1">
        <v>4513401</v>
      </c>
      <c r="E102" s="1">
        <v>-74161483</v>
      </c>
      <c r="F102" s="2">
        <v>46166</v>
      </c>
      <c r="G102" t="s">
        <v>382</v>
      </c>
      <c r="H102">
        <v>800000</v>
      </c>
      <c r="I102">
        <v>376260</v>
      </c>
      <c r="J102">
        <v>0</v>
      </c>
      <c r="K102" t="s">
        <v>22</v>
      </c>
      <c r="L102">
        <v>900000</v>
      </c>
      <c r="M102" t="s">
        <v>23</v>
      </c>
      <c r="N102" t="s">
        <v>42</v>
      </c>
      <c r="O102" s="3" t="s">
        <v>370</v>
      </c>
      <c r="P102" s="3">
        <v>50</v>
      </c>
      <c r="Q102" t="s">
        <v>372</v>
      </c>
      <c r="R102" t="s">
        <v>376</v>
      </c>
      <c r="S102">
        <f>IF(Tabla1[[#This Row],[dias_mora]]&gt;30,Tabla1[[#This Row],[saldo_cartera]],0)</f>
        <v>0</v>
      </c>
      <c r="T102">
        <f>Tabla1[[#This Row],[saldo_mora_30]]/Tabla1[[#This Row],[saldo_cartera]]</f>
        <v>0</v>
      </c>
      <c r="U102" t="str">
        <f>VLOOKUP(N102,asesores_ficticio!$A:$C,3,FALSE)</f>
        <v>Itagüí</v>
      </c>
      <c r="V102" t="str">
        <f t="shared" si="1"/>
        <v>NO</v>
      </c>
    </row>
    <row r="103" spans="1:22" x14ac:dyDescent="0.3">
      <c r="A103" t="s">
        <v>147</v>
      </c>
      <c r="B103" t="s">
        <v>46</v>
      </c>
      <c r="C103" t="s">
        <v>21</v>
      </c>
      <c r="D103" s="1">
        <v>6338977</v>
      </c>
      <c r="E103" s="1">
        <v>-75619756</v>
      </c>
      <c r="F103" s="2">
        <v>45386</v>
      </c>
      <c r="G103" t="s">
        <v>385</v>
      </c>
      <c r="H103">
        <v>2500000</v>
      </c>
      <c r="I103">
        <v>662045</v>
      </c>
      <c r="J103">
        <v>15</v>
      </c>
      <c r="K103" t="s">
        <v>27</v>
      </c>
      <c r="L103">
        <v>1600000</v>
      </c>
      <c r="M103" t="s">
        <v>18</v>
      </c>
      <c r="N103" t="s">
        <v>42</v>
      </c>
      <c r="O103" s="3" t="s">
        <v>371</v>
      </c>
      <c r="P103" s="3">
        <v>41</v>
      </c>
      <c r="Q103" t="s">
        <v>375</v>
      </c>
      <c r="R103" t="s">
        <v>373</v>
      </c>
      <c r="S103">
        <f>IF(Tabla1[[#This Row],[dias_mora]]&gt;30,Tabla1[[#This Row],[saldo_cartera]],0)</f>
        <v>0</v>
      </c>
      <c r="T103">
        <f>Tabla1[[#This Row],[saldo_mora_30]]/Tabla1[[#This Row],[saldo_cartera]]</f>
        <v>0</v>
      </c>
      <c r="U103" t="str">
        <f>VLOOKUP(N103,asesores_ficticio!$A:$C,3,FALSE)</f>
        <v>Itagüí</v>
      </c>
      <c r="V103" t="str">
        <f t="shared" si="1"/>
        <v>NO</v>
      </c>
    </row>
    <row r="104" spans="1:22" x14ac:dyDescent="0.3">
      <c r="A104" t="s">
        <v>148</v>
      </c>
      <c r="B104" t="s">
        <v>76</v>
      </c>
      <c r="C104" t="s">
        <v>77</v>
      </c>
      <c r="D104" s="1">
        <v>4758759</v>
      </c>
      <c r="E104" s="1">
        <v>-75653136</v>
      </c>
      <c r="F104" s="2">
        <v>46320</v>
      </c>
      <c r="G104" t="s">
        <v>383</v>
      </c>
      <c r="H104">
        <v>500000</v>
      </c>
      <c r="I104">
        <v>125287</v>
      </c>
      <c r="J104">
        <v>15</v>
      </c>
      <c r="K104" t="s">
        <v>17</v>
      </c>
      <c r="L104">
        <v>2000000</v>
      </c>
      <c r="M104" t="s">
        <v>28</v>
      </c>
      <c r="N104" t="s">
        <v>24</v>
      </c>
      <c r="O104" s="3" t="s">
        <v>371</v>
      </c>
      <c r="P104" s="3">
        <v>39</v>
      </c>
      <c r="Q104" t="s">
        <v>375</v>
      </c>
      <c r="R104" t="s">
        <v>373</v>
      </c>
      <c r="S104">
        <f>IF(Tabla1[[#This Row],[dias_mora]]&gt;30,Tabla1[[#This Row],[saldo_cartera]],0)</f>
        <v>0</v>
      </c>
      <c r="T104">
        <f>Tabla1[[#This Row],[saldo_mora_30]]/Tabla1[[#This Row],[saldo_cartera]]</f>
        <v>0</v>
      </c>
      <c r="U104" t="str">
        <f>VLOOKUP(N104,asesores_ficticio!$A:$C,3,FALSE)</f>
        <v>Soacha</v>
      </c>
      <c r="V104" t="str">
        <f t="shared" si="1"/>
        <v>NO</v>
      </c>
    </row>
    <row r="105" spans="1:22" x14ac:dyDescent="0.3">
      <c r="A105" t="s">
        <v>149</v>
      </c>
      <c r="B105" t="s">
        <v>15</v>
      </c>
      <c r="C105" t="s">
        <v>16</v>
      </c>
      <c r="D105" s="1">
        <v>4523453</v>
      </c>
      <c r="E105" s="1">
        <v>-74285674</v>
      </c>
      <c r="F105" s="2">
        <v>45094</v>
      </c>
      <c r="G105" t="s">
        <v>384</v>
      </c>
      <c r="H105">
        <v>1800000</v>
      </c>
      <c r="I105">
        <v>1146019</v>
      </c>
      <c r="J105">
        <v>30</v>
      </c>
      <c r="K105" t="s">
        <v>27</v>
      </c>
      <c r="L105">
        <v>2800000</v>
      </c>
      <c r="M105" t="s">
        <v>31</v>
      </c>
      <c r="N105" t="s">
        <v>38</v>
      </c>
      <c r="O105" s="3" t="s">
        <v>371</v>
      </c>
      <c r="P105" s="3">
        <v>61</v>
      </c>
      <c r="Q105" t="s">
        <v>374</v>
      </c>
      <c r="R105" t="s">
        <v>373</v>
      </c>
      <c r="S105">
        <f>IF(Tabla1[[#This Row],[dias_mora]]&gt;30,Tabla1[[#This Row],[saldo_cartera]],0)</f>
        <v>0</v>
      </c>
      <c r="T105">
        <f>Tabla1[[#This Row],[saldo_mora_30]]/Tabla1[[#This Row],[saldo_cartera]]</f>
        <v>0</v>
      </c>
      <c r="U105" t="str">
        <f>VLOOKUP(N105,asesores_ficticio!$A:$C,3,FALSE)</f>
        <v>Barranquilla</v>
      </c>
      <c r="V105" t="str">
        <f t="shared" si="1"/>
        <v>NO</v>
      </c>
    </row>
    <row r="106" spans="1:22" x14ac:dyDescent="0.3">
      <c r="A106" t="s">
        <v>150</v>
      </c>
      <c r="B106" t="s">
        <v>379</v>
      </c>
      <c r="C106" t="s">
        <v>21</v>
      </c>
      <c r="D106" s="1">
        <v>6173302</v>
      </c>
      <c r="E106" s="1">
        <v>-75528129</v>
      </c>
      <c r="F106" s="2">
        <v>46253</v>
      </c>
      <c r="G106" t="s">
        <v>384</v>
      </c>
      <c r="H106">
        <v>500000</v>
      </c>
      <c r="I106">
        <v>323983</v>
      </c>
      <c r="J106">
        <v>90</v>
      </c>
      <c r="K106" t="s">
        <v>37</v>
      </c>
      <c r="L106">
        <v>900000</v>
      </c>
      <c r="M106" t="s">
        <v>28</v>
      </c>
      <c r="N106" t="s">
        <v>29</v>
      </c>
      <c r="O106" s="3" t="s">
        <v>370</v>
      </c>
      <c r="P106" s="3">
        <v>34</v>
      </c>
      <c r="Q106" t="s">
        <v>374</v>
      </c>
      <c r="R106" t="s">
        <v>376</v>
      </c>
      <c r="S106">
        <f>IF(Tabla1[[#This Row],[dias_mora]]&gt;30,Tabla1[[#This Row],[saldo_cartera]],0)</f>
        <v>323983</v>
      </c>
      <c r="T106">
        <f>Tabla1[[#This Row],[saldo_mora_30]]/Tabla1[[#This Row],[saldo_cartera]]</f>
        <v>1</v>
      </c>
      <c r="U106" t="str">
        <f>VLOOKUP(N106,asesores_ficticio!$A:$C,3,FALSE)</f>
        <v>Rionegro</v>
      </c>
      <c r="V106" t="str">
        <f t="shared" si="1"/>
        <v>NO</v>
      </c>
    </row>
    <row r="107" spans="1:22" x14ac:dyDescent="0.3">
      <c r="A107" t="s">
        <v>151</v>
      </c>
      <c r="B107" t="s">
        <v>15</v>
      </c>
      <c r="C107" t="s">
        <v>16</v>
      </c>
      <c r="D107" s="1">
        <v>4596101</v>
      </c>
      <c r="E107" s="1">
        <v>-74216381</v>
      </c>
      <c r="F107" s="2">
        <v>45190</v>
      </c>
      <c r="G107" t="s">
        <v>385</v>
      </c>
      <c r="H107">
        <v>500000</v>
      </c>
      <c r="I107">
        <v>241472</v>
      </c>
      <c r="J107">
        <v>30</v>
      </c>
      <c r="K107" t="s">
        <v>48</v>
      </c>
      <c r="L107">
        <v>1600000</v>
      </c>
      <c r="M107" t="s">
        <v>18</v>
      </c>
      <c r="N107" t="s">
        <v>38</v>
      </c>
      <c r="O107" s="3" t="s">
        <v>371</v>
      </c>
      <c r="P107" s="3">
        <v>40</v>
      </c>
      <c r="Q107" t="s">
        <v>374</v>
      </c>
      <c r="R107" t="s">
        <v>373</v>
      </c>
      <c r="S107">
        <f>IF(Tabla1[[#This Row],[dias_mora]]&gt;30,Tabla1[[#This Row],[saldo_cartera]],0)</f>
        <v>0</v>
      </c>
      <c r="T107">
        <f>Tabla1[[#This Row],[saldo_mora_30]]/Tabla1[[#This Row],[saldo_cartera]]</f>
        <v>0</v>
      </c>
      <c r="U107" t="str">
        <f>VLOOKUP(N107,asesores_ficticio!$A:$C,3,FALSE)</f>
        <v>Barranquilla</v>
      </c>
      <c r="V107" t="str">
        <f t="shared" si="1"/>
        <v>NO</v>
      </c>
    </row>
    <row r="108" spans="1:22" x14ac:dyDescent="0.3">
      <c r="A108" t="s">
        <v>152</v>
      </c>
      <c r="B108" t="s">
        <v>34</v>
      </c>
      <c r="C108" t="s">
        <v>386</v>
      </c>
      <c r="D108" s="1">
        <v>10967751</v>
      </c>
      <c r="E108" s="1">
        <v>-74778831</v>
      </c>
      <c r="F108" s="2">
        <v>45981</v>
      </c>
      <c r="G108" t="s">
        <v>384</v>
      </c>
      <c r="H108">
        <v>1200000</v>
      </c>
      <c r="I108">
        <v>500309</v>
      </c>
      <c r="J108">
        <v>0</v>
      </c>
      <c r="K108" t="s">
        <v>27</v>
      </c>
      <c r="L108">
        <v>2000000</v>
      </c>
      <c r="M108" t="s">
        <v>50</v>
      </c>
      <c r="N108" t="s">
        <v>24</v>
      </c>
      <c r="O108" s="3" t="s">
        <v>370</v>
      </c>
      <c r="P108" s="3">
        <v>35</v>
      </c>
      <c r="Q108" t="s">
        <v>372</v>
      </c>
      <c r="R108" t="s">
        <v>373</v>
      </c>
      <c r="S108">
        <f>IF(Tabla1[[#This Row],[dias_mora]]&gt;30,Tabla1[[#This Row],[saldo_cartera]],0)</f>
        <v>0</v>
      </c>
      <c r="T108">
        <f>Tabla1[[#This Row],[saldo_mora_30]]/Tabla1[[#This Row],[saldo_cartera]]</f>
        <v>0</v>
      </c>
      <c r="U108" t="str">
        <f>VLOOKUP(N108,asesores_ficticio!$A:$C,3,FALSE)</f>
        <v>Soacha</v>
      </c>
      <c r="V108" t="str">
        <f t="shared" si="1"/>
        <v>NO</v>
      </c>
    </row>
    <row r="109" spans="1:22" x14ac:dyDescent="0.3">
      <c r="A109" t="s">
        <v>153</v>
      </c>
      <c r="B109" t="s">
        <v>46</v>
      </c>
      <c r="C109" t="s">
        <v>21</v>
      </c>
      <c r="D109" s="1">
        <v>6346574</v>
      </c>
      <c r="E109" s="1">
        <v>-7557615</v>
      </c>
      <c r="F109" s="2">
        <v>45446</v>
      </c>
      <c r="G109" t="s">
        <v>385</v>
      </c>
      <c r="H109">
        <v>1200000</v>
      </c>
      <c r="I109">
        <v>858208</v>
      </c>
      <c r="J109">
        <v>5</v>
      </c>
      <c r="K109" t="s">
        <v>27</v>
      </c>
      <c r="L109">
        <v>2800000</v>
      </c>
      <c r="M109" t="s">
        <v>23</v>
      </c>
      <c r="N109" t="s">
        <v>32</v>
      </c>
      <c r="O109" s="3" t="s">
        <v>370</v>
      </c>
      <c r="P109" s="3">
        <v>31</v>
      </c>
      <c r="Q109" t="s">
        <v>375</v>
      </c>
      <c r="R109" t="s">
        <v>373</v>
      </c>
      <c r="S109">
        <f>IF(Tabla1[[#This Row],[dias_mora]]&gt;30,Tabla1[[#This Row],[saldo_cartera]],0)</f>
        <v>0</v>
      </c>
      <c r="T109">
        <f>Tabla1[[#This Row],[saldo_mora_30]]/Tabla1[[#This Row],[saldo_cartera]]</f>
        <v>0</v>
      </c>
      <c r="U109" t="str">
        <f>VLOOKUP(N109,asesores_ficticio!$A:$C,3,FALSE)</f>
        <v>Cali</v>
      </c>
      <c r="V109" t="str">
        <f t="shared" si="1"/>
        <v>NO</v>
      </c>
    </row>
    <row r="110" spans="1:22" x14ac:dyDescent="0.3">
      <c r="A110" t="s">
        <v>154</v>
      </c>
      <c r="B110" t="s">
        <v>380</v>
      </c>
      <c r="C110" t="s">
        <v>21</v>
      </c>
      <c r="D110" s="1">
        <v>6187107</v>
      </c>
      <c r="E110" s="1">
        <v>-7554212</v>
      </c>
      <c r="F110" s="2">
        <v>45619</v>
      </c>
      <c r="G110" t="s">
        <v>384</v>
      </c>
      <c r="H110">
        <v>1200000</v>
      </c>
      <c r="I110">
        <v>690101</v>
      </c>
      <c r="J110">
        <v>5</v>
      </c>
      <c r="K110" t="s">
        <v>37</v>
      </c>
      <c r="L110">
        <v>1600000</v>
      </c>
      <c r="M110" t="s">
        <v>28</v>
      </c>
      <c r="N110" t="s">
        <v>24</v>
      </c>
      <c r="O110" s="3" t="s">
        <v>370</v>
      </c>
      <c r="P110" s="3">
        <v>48</v>
      </c>
      <c r="Q110" t="s">
        <v>375</v>
      </c>
      <c r="R110" t="s">
        <v>373</v>
      </c>
      <c r="S110">
        <f>IF(Tabla1[[#This Row],[dias_mora]]&gt;30,Tabla1[[#This Row],[saldo_cartera]],0)</f>
        <v>0</v>
      </c>
      <c r="T110">
        <f>Tabla1[[#This Row],[saldo_mora_30]]/Tabla1[[#This Row],[saldo_cartera]]</f>
        <v>0</v>
      </c>
      <c r="U110" t="str">
        <f>VLOOKUP(N110,asesores_ficticio!$A:$C,3,FALSE)</f>
        <v>Soacha</v>
      </c>
      <c r="V110" t="str">
        <f t="shared" si="1"/>
        <v>NO</v>
      </c>
    </row>
    <row r="111" spans="1:22" x14ac:dyDescent="0.3">
      <c r="A111" t="s">
        <v>155</v>
      </c>
      <c r="B111" t="s">
        <v>379</v>
      </c>
      <c r="C111" t="s">
        <v>21</v>
      </c>
      <c r="D111" s="1">
        <v>6222216</v>
      </c>
      <c r="E111" s="1">
        <v>-75632358</v>
      </c>
      <c r="F111" s="2">
        <v>45356</v>
      </c>
      <c r="G111" t="s">
        <v>384</v>
      </c>
      <c r="H111">
        <v>800000</v>
      </c>
      <c r="I111">
        <v>312378</v>
      </c>
      <c r="J111">
        <v>15</v>
      </c>
      <c r="K111" t="s">
        <v>27</v>
      </c>
      <c r="L111">
        <v>1300000</v>
      </c>
      <c r="M111" t="s">
        <v>50</v>
      </c>
      <c r="N111" t="s">
        <v>35</v>
      </c>
      <c r="O111" s="3" t="s">
        <v>371</v>
      </c>
      <c r="P111" s="3">
        <v>45</v>
      </c>
      <c r="Q111" t="s">
        <v>375</v>
      </c>
      <c r="R111" t="s">
        <v>376</v>
      </c>
      <c r="S111">
        <f>IF(Tabla1[[#This Row],[dias_mora]]&gt;30,Tabla1[[#This Row],[saldo_cartera]],0)</f>
        <v>0</v>
      </c>
      <c r="T111">
        <f>Tabla1[[#This Row],[saldo_mora_30]]/Tabla1[[#This Row],[saldo_cartera]]</f>
        <v>0</v>
      </c>
      <c r="U111" t="str">
        <f>VLOOKUP(N111,asesores_ficticio!$A:$C,3,FALSE)</f>
        <v>Bucaramanga</v>
      </c>
      <c r="V111" t="str">
        <f t="shared" si="1"/>
        <v>NO</v>
      </c>
    </row>
    <row r="112" spans="1:22" x14ac:dyDescent="0.3">
      <c r="A112" t="s">
        <v>156</v>
      </c>
      <c r="B112" t="s">
        <v>40</v>
      </c>
      <c r="C112" t="s">
        <v>41</v>
      </c>
      <c r="D112" s="1">
        <v>7172919</v>
      </c>
      <c r="E112" s="1">
        <v>-73061311</v>
      </c>
      <c r="F112" s="2">
        <v>45578</v>
      </c>
      <c r="G112" t="s">
        <v>385</v>
      </c>
      <c r="H112">
        <v>500000</v>
      </c>
      <c r="I112">
        <v>331320</v>
      </c>
      <c r="J112">
        <v>45</v>
      </c>
      <c r="K112" t="s">
        <v>22</v>
      </c>
      <c r="L112">
        <v>2800000</v>
      </c>
      <c r="M112" t="s">
        <v>18</v>
      </c>
      <c r="N112" t="s">
        <v>57</v>
      </c>
      <c r="O112" s="3" t="s">
        <v>370</v>
      </c>
      <c r="P112" s="3">
        <v>29</v>
      </c>
      <c r="Q112" t="s">
        <v>374</v>
      </c>
      <c r="R112" t="s">
        <v>373</v>
      </c>
      <c r="S112">
        <f>IF(Tabla1[[#This Row],[dias_mora]]&gt;30,Tabla1[[#This Row],[saldo_cartera]],0)</f>
        <v>331320</v>
      </c>
      <c r="T112">
        <f>Tabla1[[#This Row],[saldo_mora_30]]/Tabla1[[#This Row],[saldo_cartera]]</f>
        <v>1</v>
      </c>
      <c r="U112" t="str">
        <f>VLOOKUP(N112,asesores_ficticio!$A:$C,3,FALSE)</f>
        <v>Pereira</v>
      </c>
      <c r="V112" t="str">
        <f t="shared" si="1"/>
        <v>NO</v>
      </c>
    </row>
    <row r="113" spans="1:22" x14ac:dyDescent="0.3">
      <c r="A113" t="s">
        <v>157</v>
      </c>
      <c r="B113" t="s">
        <v>380</v>
      </c>
      <c r="C113" t="s">
        <v>21</v>
      </c>
      <c r="D113" s="1">
        <v>6207289</v>
      </c>
      <c r="E113" s="1">
        <v>-75685209</v>
      </c>
      <c r="F113" s="2">
        <v>46017</v>
      </c>
      <c r="G113" t="s">
        <v>383</v>
      </c>
      <c r="H113">
        <v>1200000</v>
      </c>
      <c r="I113">
        <v>809890</v>
      </c>
      <c r="J113">
        <v>0</v>
      </c>
      <c r="K113" t="s">
        <v>22</v>
      </c>
      <c r="L113">
        <v>2000000</v>
      </c>
      <c r="M113" t="s">
        <v>28</v>
      </c>
      <c r="N113" t="s">
        <v>29</v>
      </c>
      <c r="O113" s="3" t="s">
        <v>371</v>
      </c>
      <c r="P113" s="3">
        <v>61</v>
      </c>
      <c r="Q113" t="s">
        <v>377</v>
      </c>
      <c r="R113" t="s">
        <v>373</v>
      </c>
      <c r="S113">
        <f>IF(Tabla1[[#This Row],[dias_mora]]&gt;30,Tabla1[[#This Row],[saldo_cartera]],0)</f>
        <v>0</v>
      </c>
      <c r="T113">
        <f>Tabla1[[#This Row],[saldo_mora_30]]/Tabla1[[#This Row],[saldo_cartera]]</f>
        <v>0</v>
      </c>
      <c r="U113" t="str">
        <f>VLOOKUP(N113,asesores_ficticio!$A:$C,3,FALSE)</f>
        <v>Rionegro</v>
      </c>
      <c r="V113" t="str">
        <f t="shared" si="1"/>
        <v>NO</v>
      </c>
    </row>
    <row r="114" spans="1:22" x14ac:dyDescent="0.3">
      <c r="A114" t="s">
        <v>158</v>
      </c>
      <c r="B114" t="s">
        <v>381</v>
      </c>
      <c r="C114" t="s">
        <v>16</v>
      </c>
      <c r="D114" s="1">
        <v>4785495</v>
      </c>
      <c r="E114" s="1">
        <v>-74026601</v>
      </c>
      <c r="F114" s="2">
        <v>46259</v>
      </c>
      <c r="G114" t="s">
        <v>382</v>
      </c>
      <c r="H114">
        <v>6000000</v>
      </c>
      <c r="I114">
        <v>1589482</v>
      </c>
      <c r="J114">
        <v>5</v>
      </c>
      <c r="K114" t="s">
        <v>37</v>
      </c>
      <c r="L114">
        <v>2800000</v>
      </c>
      <c r="M114" t="s">
        <v>28</v>
      </c>
      <c r="N114" t="s">
        <v>35</v>
      </c>
      <c r="O114" s="3" t="s">
        <v>371</v>
      </c>
      <c r="P114" s="3">
        <v>57</v>
      </c>
      <c r="Q114" t="s">
        <v>375</v>
      </c>
      <c r="R114" t="s">
        <v>373</v>
      </c>
      <c r="S114">
        <f>IF(Tabla1[[#This Row],[dias_mora]]&gt;30,Tabla1[[#This Row],[saldo_cartera]],0)</f>
        <v>0</v>
      </c>
      <c r="T114">
        <f>Tabla1[[#This Row],[saldo_mora_30]]/Tabla1[[#This Row],[saldo_cartera]]</f>
        <v>0</v>
      </c>
      <c r="U114" t="str">
        <f>VLOOKUP(N114,asesores_ficticio!$A:$C,3,FALSE)</f>
        <v>Bucaramanga</v>
      </c>
      <c r="V114" t="str">
        <f t="shared" si="1"/>
        <v>NO</v>
      </c>
    </row>
    <row r="115" spans="1:22" x14ac:dyDescent="0.3">
      <c r="A115" t="s">
        <v>159</v>
      </c>
      <c r="B115" t="s">
        <v>70</v>
      </c>
      <c r="C115" t="s">
        <v>71</v>
      </c>
      <c r="D115" s="1">
        <v>3526203</v>
      </c>
      <c r="E115" s="1">
        <v>-76481297</v>
      </c>
      <c r="F115" s="2">
        <v>46191</v>
      </c>
      <c r="G115" t="s">
        <v>384</v>
      </c>
      <c r="H115">
        <v>6000000</v>
      </c>
      <c r="I115">
        <v>3683784</v>
      </c>
      <c r="J115">
        <v>45</v>
      </c>
      <c r="K115" t="s">
        <v>17</v>
      </c>
      <c r="L115">
        <v>900000</v>
      </c>
      <c r="M115" t="s">
        <v>50</v>
      </c>
      <c r="N115" t="s">
        <v>63</v>
      </c>
      <c r="O115" s="3" t="s">
        <v>371</v>
      </c>
      <c r="P115" s="3">
        <v>51</v>
      </c>
      <c r="Q115" t="s">
        <v>374</v>
      </c>
      <c r="R115" t="s">
        <v>376</v>
      </c>
      <c r="S115">
        <f>IF(Tabla1[[#This Row],[dias_mora]]&gt;30,Tabla1[[#This Row],[saldo_cartera]],0)</f>
        <v>3683784</v>
      </c>
      <c r="T115">
        <f>Tabla1[[#This Row],[saldo_mora_30]]/Tabla1[[#This Row],[saldo_cartera]]</f>
        <v>1</v>
      </c>
      <c r="U115" t="str">
        <f>VLOOKUP(N115,asesores_ficticio!$A:$C,3,FALSE)</f>
        <v>Bogotá</v>
      </c>
      <c r="V115" t="str">
        <f t="shared" si="1"/>
        <v>NO</v>
      </c>
    </row>
    <row r="116" spans="1:22" x14ac:dyDescent="0.3">
      <c r="A116" t="s">
        <v>160</v>
      </c>
      <c r="B116" t="s">
        <v>46</v>
      </c>
      <c r="C116" t="s">
        <v>21</v>
      </c>
      <c r="D116" s="1">
        <v>6379399</v>
      </c>
      <c r="E116" s="1">
        <v>-75594353</v>
      </c>
      <c r="F116" s="2">
        <v>46174</v>
      </c>
      <c r="G116" t="s">
        <v>383</v>
      </c>
      <c r="H116">
        <v>2500000</v>
      </c>
      <c r="I116">
        <v>563116</v>
      </c>
      <c r="J116">
        <v>0</v>
      </c>
      <c r="K116" t="s">
        <v>48</v>
      </c>
      <c r="L116">
        <v>1300000</v>
      </c>
      <c r="M116" t="s">
        <v>31</v>
      </c>
      <c r="N116" t="s">
        <v>35</v>
      </c>
      <c r="O116" s="3" t="s">
        <v>371</v>
      </c>
      <c r="P116" s="3">
        <v>30</v>
      </c>
      <c r="Q116" t="s">
        <v>372</v>
      </c>
      <c r="R116" t="s">
        <v>376</v>
      </c>
      <c r="S116">
        <f>IF(Tabla1[[#This Row],[dias_mora]]&gt;30,Tabla1[[#This Row],[saldo_cartera]],0)</f>
        <v>0</v>
      </c>
      <c r="T116">
        <f>Tabla1[[#This Row],[saldo_mora_30]]/Tabla1[[#This Row],[saldo_cartera]]</f>
        <v>0</v>
      </c>
      <c r="U116" t="str">
        <f>VLOOKUP(N116,asesores_ficticio!$A:$C,3,FALSE)</f>
        <v>Bucaramanga</v>
      </c>
      <c r="V116" t="str">
        <f t="shared" si="1"/>
        <v>NO</v>
      </c>
    </row>
    <row r="117" spans="1:22" x14ac:dyDescent="0.3">
      <c r="A117" t="s">
        <v>161</v>
      </c>
      <c r="B117" t="s">
        <v>15</v>
      </c>
      <c r="C117" t="s">
        <v>16</v>
      </c>
      <c r="D117" s="1">
        <v>4537024</v>
      </c>
      <c r="E117" s="1">
        <v>-74137476</v>
      </c>
      <c r="F117" s="2">
        <v>45721</v>
      </c>
      <c r="G117" t="s">
        <v>384</v>
      </c>
      <c r="H117">
        <v>1200000</v>
      </c>
      <c r="I117">
        <v>349030</v>
      </c>
      <c r="J117">
        <v>0</v>
      </c>
      <c r="K117" t="s">
        <v>27</v>
      </c>
      <c r="L117">
        <v>900000</v>
      </c>
      <c r="M117" t="s">
        <v>31</v>
      </c>
      <c r="N117" t="s">
        <v>42</v>
      </c>
      <c r="O117" s="3" t="s">
        <v>371</v>
      </c>
      <c r="P117" s="3">
        <v>41</v>
      </c>
      <c r="Q117" t="s">
        <v>372</v>
      </c>
      <c r="R117" t="s">
        <v>376</v>
      </c>
      <c r="S117">
        <f>IF(Tabla1[[#This Row],[dias_mora]]&gt;30,Tabla1[[#This Row],[saldo_cartera]],0)</f>
        <v>0</v>
      </c>
      <c r="T117">
        <f>Tabla1[[#This Row],[saldo_mora_30]]/Tabla1[[#This Row],[saldo_cartera]]</f>
        <v>0</v>
      </c>
      <c r="U117" t="str">
        <f>VLOOKUP(N117,asesores_ficticio!$A:$C,3,FALSE)</f>
        <v>Itagüí</v>
      </c>
      <c r="V117" t="str">
        <f t="shared" si="1"/>
        <v>NO</v>
      </c>
    </row>
    <row r="118" spans="1:22" x14ac:dyDescent="0.3">
      <c r="A118" t="s">
        <v>162</v>
      </c>
      <c r="B118" t="s">
        <v>34</v>
      </c>
      <c r="C118" t="s">
        <v>386</v>
      </c>
      <c r="D118" s="1">
        <v>10955676</v>
      </c>
      <c r="E118" s="1">
        <v>-7487556</v>
      </c>
      <c r="F118" s="2">
        <v>46078</v>
      </c>
      <c r="G118" t="s">
        <v>382</v>
      </c>
      <c r="H118">
        <v>500000</v>
      </c>
      <c r="I118">
        <v>58077</v>
      </c>
      <c r="J118">
        <v>0</v>
      </c>
      <c r="K118" t="s">
        <v>22</v>
      </c>
      <c r="L118">
        <v>1300000</v>
      </c>
      <c r="M118" t="s">
        <v>23</v>
      </c>
      <c r="N118" t="s">
        <v>19</v>
      </c>
      <c r="O118" s="3" t="s">
        <v>370</v>
      </c>
      <c r="P118" s="3">
        <v>41</v>
      </c>
      <c r="Q118" t="s">
        <v>372</v>
      </c>
      <c r="R118" t="s">
        <v>376</v>
      </c>
      <c r="S118">
        <f>IF(Tabla1[[#This Row],[dias_mora]]&gt;30,Tabla1[[#This Row],[saldo_cartera]],0)</f>
        <v>0</v>
      </c>
      <c r="T118">
        <f>Tabla1[[#This Row],[saldo_mora_30]]/Tabla1[[#This Row],[saldo_cartera]]</f>
        <v>0</v>
      </c>
      <c r="U118" t="str">
        <f>VLOOKUP(N118,asesores_ficticio!$A:$C,3,FALSE)</f>
        <v>Bello</v>
      </c>
      <c r="V118" t="str">
        <f t="shared" si="1"/>
        <v>NO</v>
      </c>
    </row>
    <row r="119" spans="1:22" x14ac:dyDescent="0.3">
      <c r="A119" t="s">
        <v>163</v>
      </c>
      <c r="B119" t="s">
        <v>379</v>
      </c>
      <c r="C119" t="s">
        <v>21</v>
      </c>
      <c r="D119" s="1">
        <v>620235</v>
      </c>
      <c r="E119" s="1">
        <v>-75558968</v>
      </c>
      <c r="F119" s="2">
        <v>45247</v>
      </c>
      <c r="G119" t="s">
        <v>385</v>
      </c>
      <c r="H119">
        <v>2500000</v>
      </c>
      <c r="I119">
        <v>1221366</v>
      </c>
      <c r="J119">
        <v>0</v>
      </c>
      <c r="K119" t="s">
        <v>22</v>
      </c>
      <c r="L119">
        <v>2000000</v>
      </c>
      <c r="M119" t="s">
        <v>23</v>
      </c>
      <c r="N119" t="s">
        <v>32</v>
      </c>
      <c r="O119" s="3" t="s">
        <v>371</v>
      </c>
      <c r="P119" s="3">
        <v>44</v>
      </c>
      <c r="Q119" t="s">
        <v>372</v>
      </c>
      <c r="R119" t="s">
        <v>373</v>
      </c>
      <c r="S119">
        <f>IF(Tabla1[[#This Row],[dias_mora]]&gt;30,Tabla1[[#This Row],[saldo_cartera]],0)</f>
        <v>0</v>
      </c>
      <c r="T119">
        <f>Tabla1[[#This Row],[saldo_mora_30]]/Tabla1[[#This Row],[saldo_cartera]]</f>
        <v>0</v>
      </c>
      <c r="U119" t="str">
        <f>VLOOKUP(N119,asesores_ficticio!$A:$C,3,FALSE)</f>
        <v>Cali</v>
      </c>
      <c r="V119" t="str">
        <f t="shared" si="1"/>
        <v>NO</v>
      </c>
    </row>
    <row r="120" spans="1:22" x14ac:dyDescent="0.3">
      <c r="A120" t="s">
        <v>164</v>
      </c>
      <c r="B120" t="s">
        <v>379</v>
      </c>
      <c r="C120" t="s">
        <v>21</v>
      </c>
      <c r="D120" s="1">
        <v>626257</v>
      </c>
      <c r="E120" s="1">
        <v>-7562271</v>
      </c>
      <c r="F120" s="2">
        <v>45705</v>
      </c>
      <c r="G120" t="s">
        <v>384</v>
      </c>
      <c r="H120">
        <v>1800000</v>
      </c>
      <c r="I120">
        <v>466590</v>
      </c>
      <c r="J120">
        <v>5</v>
      </c>
      <c r="K120" t="s">
        <v>37</v>
      </c>
      <c r="L120">
        <v>2800000</v>
      </c>
      <c r="M120" t="s">
        <v>31</v>
      </c>
      <c r="N120" t="s">
        <v>61</v>
      </c>
      <c r="O120" s="3" t="s">
        <v>370</v>
      </c>
      <c r="P120" s="3">
        <v>40</v>
      </c>
      <c r="Q120" t="s">
        <v>375</v>
      </c>
      <c r="R120" t="s">
        <v>373</v>
      </c>
      <c r="S120">
        <f>IF(Tabla1[[#This Row],[dias_mora]]&gt;30,Tabla1[[#This Row],[saldo_cartera]],0)</f>
        <v>0</v>
      </c>
      <c r="T120">
        <f>Tabla1[[#This Row],[saldo_mora_30]]/Tabla1[[#This Row],[saldo_cartera]]</f>
        <v>0</v>
      </c>
      <c r="U120" t="str">
        <f>VLOOKUP(N120,asesores_ficticio!$A:$C,3,FALSE)</f>
        <v>Medellín</v>
      </c>
      <c r="V120" t="str">
        <f t="shared" si="1"/>
        <v>SI</v>
      </c>
    </row>
    <row r="121" spans="1:22" x14ac:dyDescent="0.3">
      <c r="A121" t="s">
        <v>165</v>
      </c>
      <c r="B121" t="s">
        <v>70</v>
      </c>
      <c r="C121" t="s">
        <v>71</v>
      </c>
      <c r="D121" s="1">
        <v>3528566</v>
      </c>
      <c r="E121" s="1">
        <v>-76571416</v>
      </c>
      <c r="F121" s="2">
        <v>45223</v>
      </c>
      <c r="G121" t="s">
        <v>382</v>
      </c>
      <c r="H121">
        <v>500000</v>
      </c>
      <c r="I121">
        <v>201765</v>
      </c>
      <c r="J121">
        <v>0</v>
      </c>
      <c r="K121" t="s">
        <v>22</v>
      </c>
      <c r="L121">
        <v>1300000</v>
      </c>
      <c r="M121" t="s">
        <v>50</v>
      </c>
      <c r="N121" t="s">
        <v>24</v>
      </c>
      <c r="O121" s="3" t="s">
        <v>371</v>
      </c>
      <c r="P121" s="3">
        <v>21</v>
      </c>
      <c r="Q121" t="s">
        <v>372</v>
      </c>
      <c r="R121" t="s">
        <v>376</v>
      </c>
      <c r="S121">
        <f>IF(Tabla1[[#This Row],[dias_mora]]&gt;30,Tabla1[[#This Row],[saldo_cartera]],0)</f>
        <v>0</v>
      </c>
      <c r="T121">
        <f>Tabla1[[#This Row],[saldo_mora_30]]/Tabla1[[#This Row],[saldo_cartera]]</f>
        <v>0</v>
      </c>
      <c r="U121" t="str">
        <f>VLOOKUP(N121,asesores_ficticio!$A:$C,3,FALSE)</f>
        <v>Soacha</v>
      </c>
      <c r="V121" t="str">
        <f t="shared" si="1"/>
        <v>NO</v>
      </c>
    </row>
    <row r="122" spans="1:22" x14ac:dyDescent="0.3">
      <c r="A122" t="s">
        <v>166</v>
      </c>
      <c r="B122" t="s">
        <v>40</v>
      </c>
      <c r="C122" t="s">
        <v>41</v>
      </c>
      <c r="D122" s="1">
        <v>7093468</v>
      </c>
      <c r="E122" s="1">
        <v>-73099853</v>
      </c>
      <c r="F122" s="2">
        <v>46332</v>
      </c>
      <c r="G122" t="s">
        <v>385</v>
      </c>
      <c r="H122">
        <v>6000000</v>
      </c>
      <c r="I122">
        <v>4573627</v>
      </c>
      <c r="J122">
        <v>0</v>
      </c>
      <c r="K122" t="s">
        <v>48</v>
      </c>
      <c r="L122">
        <v>3500000</v>
      </c>
      <c r="M122" t="s">
        <v>31</v>
      </c>
      <c r="N122" t="s">
        <v>61</v>
      </c>
      <c r="O122" s="3" t="s">
        <v>370</v>
      </c>
      <c r="P122" s="3">
        <v>21</v>
      </c>
      <c r="Q122" t="s">
        <v>377</v>
      </c>
      <c r="R122" t="s">
        <v>378</v>
      </c>
      <c r="S122">
        <f>IF(Tabla1[[#This Row],[dias_mora]]&gt;30,Tabla1[[#This Row],[saldo_cartera]],0)</f>
        <v>0</v>
      </c>
      <c r="T122">
        <f>Tabla1[[#This Row],[saldo_mora_30]]/Tabla1[[#This Row],[saldo_cartera]]</f>
        <v>0</v>
      </c>
      <c r="U122" t="str">
        <f>VLOOKUP(N122,asesores_ficticio!$A:$C,3,FALSE)</f>
        <v>Medellín</v>
      </c>
      <c r="V122" t="str">
        <f t="shared" si="1"/>
        <v>NO</v>
      </c>
    </row>
    <row r="123" spans="1:22" x14ac:dyDescent="0.3">
      <c r="A123" t="s">
        <v>167</v>
      </c>
      <c r="B123" t="s">
        <v>381</v>
      </c>
      <c r="C123" t="s">
        <v>16</v>
      </c>
      <c r="D123" s="1">
        <v>4663255</v>
      </c>
      <c r="E123" s="1">
        <v>-74025523</v>
      </c>
      <c r="F123" s="2">
        <v>46144</v>
      </c>
      <c r="G123" t="s">
        <v>385</v>
      </c>
      <c r="H123">
        <v>500000</v>
      </c>
      <c r="I123">
        <v>184128</v>
      </c>
      <c r="J123">
        <v>0</v>
      </c>
      <c r="K123" t="s">
        <v>27</v>
      </c>
      <c r="L123">
        <v>2000000</v>
      </c>
      <c r="M123" t="s">
        <v>23</v>
      </c>
      <c r="N123" t="s">
        <v>61</v>
      </c>
      <c r="O123" s="3" t="s">
        <v>370</v>
      </c>
      <c r="P123" s="3">
        <v>21</v>
      </c>
      <c r="Q123" t="s">
        <v>372</v>
      </c>
      <c r="R123" t="s">
        <v>373</v>
      </c>
      <c r="S123">
        <f>IF(Tabla1[[#This Row],[dias_mora]]&gt;30,Tabla1[[#This Row],[saldo_cartera]],0)</f>
        <v>0</v>
      </c>
      <c r="T123">
        <f>Tabla1[[#This Row],[saldo_mora_30]]/Tabla1[[#This Row],[saldo_cartera]]</f>
        <v>0</v>
      </c>
      <c r="U123" t="str">
        <f>VLOOKUP(N123,asesores_ficticio!$A:$C,3,FALSE)</f>
        <v>Medellín</v>
      </c>
      <c r="V123" t="str">
        <f t="shared" si="1"/>
        <v>NO</v>
      </c>
    </row>
    <row r="124" spans="1:22" x14ac:dyDescent="0.3">
      <c r="A124" t="s">
        <v>168</v>
      </c>
      <c r="B124" t="s">
        <v>15</v>
      </c>
      <c r="C124" t="s">
        <v>16</v>
      </c>
      <c r="D124" s="1">
        <v>4543015</v>
      </c>
      <c r="E124" s="1">
        <v>-74168705</v>
      </c>
      <c r="F124" s="2">
        <v>45732</v>
      </c>
      <c r="G124" t="s">
        <v>383</v>
      </c>
      <c r="H124">
        <v>1800000</v>
      </c>
      <c r="I124">
        <v>1540914</v>
      </c>
      <c r="J124">
        <v>15</v>
      </c>
      <c r="K124" t="s">
        <v>27</v>
      </c>
      <c r="L124">
        <v>2000000</v>
      </c>
      <c r="M124" t="s">
        <v>28</v>
      </c>
      <c r="N124" t="s">
        <v>63</v>
      </c>
      <c r="O124" s="3" t="s">
        <v>371</v>
      </c>
      <c r="P124" s="3">
        <v>41</v>
      </c>
      <c r="Q124" t="s">
        <v>375</v>
      </c>
      <c r="R124" t="s">
        <v>373</v>
      </c>
      <c r="S124">
        <f>IF(Tabla1[[#This Row],[dias_mora]]&gt;30,Tabla1[[#This Row],[saldo_cartera]],0)</f>
        <v>0</v>
      </c>
      <c r="T124">
        <f>Tabla1[[#This Row],[saldo_mora_30]]/Tabla1[[#This Row],[saldo_cartera]]</f>
        <v>0</v>
      </c>
      <c r="U124" t="str">
        <f>VLOOKUP(N124,asesores_ficticio!$A:$C,3,FALSE)</f>
        <v>Bogotá</v>
      </c>
      <c r="V124" t="str">
        <f t="shared" si="1"/>
        <v>NO</v>
      </c>
    </row>
    <row r="125" spans="1:22" x14ac:dyDescent="0.3">
      <c r="A125" t="s">
        <v>169</v>
      </c>
      <c r="B125" t="s">
        <v>46</v>
      </c>
      <c r="C125" t="s">
        <v>21</v>
      </c>
      <c r="D125" s="1">
        <v>6373633</v>
      </c>
      <c r="E125" s="1">
        <v>-75625372</v>
      </c>
      <c r="F125" s="2">
        <v>45691</v>
      </c>
      <c r="G125" t="s">
        <v>382</v>
      </c>
      <c r="H125">
        <v>2500000</v>
      </c>
      <c r="I125">
        <v>2364584</v>
      </c>
      <c r="J125">
        <v>0</v>
      </c>
      <c r="K125" t="s">
        <v>27</v>
      </c>
      <c r="L125">
        <v>1600000</v>
      </c>
      <c r="M125" t="s">
        <v>23</v>
      </c>
      <c r="N125" t="s">
        <v>38</v>
      </c>
      <c r="O125" s="3" t="s">
        <v>371</v>
      </c>
      <c r="P125" s="3">
        <v>23</v>
      </c>
      <c r="Q125" t="s">
        <v>377</v>
      </c>
      <c r="R125" t="s">
        <v>373</v>
      </c>
      <c r="S125">
        <f>IF(Tabla1[[#This Row],[dias_mora]]&gt;30,Tabla1[[#This Row],[saldo_cartera]],0)</f>
        <v>0</v>
      </c>
      <c r="T125">
        <f>Tabla1[[#This Row],[saldo_mora_30]]/Tabla1[[#This Row],[saldo_cartera]]</f>
        <v>0</v>
      </c>
      <c r="U125" t="str">
        <f>VLOOKUP(N125,asesores_ficticio!$A:$C,3,FALSE)</f>
        <v>Barranquilla</v>
      </c>
      <c r="V125" t="str">
        <f t="shared" si="1"/>
        <v>NO</v>
      </c>
    </row>
    <row r="126" spans="1:22" x14ac:dyDescent="0.3">
      <c r="A126" t="s">
        <v>170</v>
      </c>
      <c r="B126" t="s">
        <v>76</v>
      </c>
      <c r="C126" t="s">
        <v>77</v>
      </c>
      <c r="D126" s="1">
        <v>4849126</v>
      </c>
      <c r="E126" s="1">
        <v>-75747937</v>
      </c>
      <c r="F126" s="2">
        <v>46163</v>
      </c>
      <c r="G126" t="s">
        <v>384</v>
      </c>
      <c r="H126">
        <v>1800000</v>
      </c>
      <c r="I126">
        <v>717867</v>
      </c>
      <c r="J126">
        <v>0</v>
      </c>
      <c r="K126" t="s">
        <v>48</v>
      </c>
      <c r="L126">
        <v>1600000</v>
      </c>
      <c r="M126" t="s">
        <v>31</v>
      </c>
      <c r="N126" t="s">
        <v>24</v>
      </c>
      <c r="O126" s="3" t="s">
        <v>370</v>
      </c>
      <c r="P126" s="3">
        <v>34</v>
      </c>
      <c r="Q126" t="s">
        <v>372</v>
      </c>
      <c r="R126" t="s">
        <v>373</v>
      </c>
      <c r="S126">
        <f>IF(Tabla1[[#This Row],[dias_mora]]&gt;30,Tabla1[[#This Row],[saldo_cartera]],0)</f>
        <v>0</v>
      </c>
      <c r="T126">
        <f>Tabla1[[#This Row],[saldo_mora_30]]/Tabla1[[#This Row],[saldo_cartera]]</f>
        <v>0</v>
      </c>
      <c r="U126" t="str">
        <f>VLOOKUP(N126,asesores_ficticio!$A:$C,3,FALSE)</f>
        <v>Soacha</v>
      </c>
      <c r="V126" t="str">
        <f t="shared" si="1"/>
        <v>NO</v>
      </c>
    </row>
    <row r="127" spans="1:22" x14ac:dyDescent="0.3">
      <c r="A127" t="s">
        <v>171</v>
      </c>
      <c r="B127" t="s">
        <v>40</v>
      </c>
      <c r="C127" t="s">
        <v>41</v>
      </c>
      <c r="D127" s="1">
        <v>7167475</v>
      </c>
      <c r="E127" s="1">
        <v>-73093994</v>
      </c>
      <c r="F127" s="2">
        <v>44988</v>
      </c>
      <c r="G127" t="s">
        <v>385</v>
      </c>
      <c r="H127">
        <v>500000</v>
      </c>
      <c r="I127">
        <v>110681</v>
      </c>
      <c r="J127">
        <v>5</v>
      </c>
      <c r="K127" t="s">
        <v>27</v>
      </c>
      <c r="L127">
        <v>2000000</v>
      </c>
      <c r="M127" t="s">
        <v>23</v>
      </c>
      <c r="N127" t="s">
        <v>32</v>
      </c>
      <c r="O127" s="3" t="s">
        <v>371</v>
      </c>
      <c r="P127" s="3">
        <v>27</v>
      </c>
      <c r="Q127" t="s">
        <v>375</v>
      </c>
      <c r="R127" t="s">
        <v>373</v>
      </c>
      <c r="S127">
        <f>IF(Tabla1[[#This Row],[dias_mora]]&gt;30,Tabla1[[#This Row],[saldo_cartera]],0)</f>
        <v>0</v>
      </c>
      <c r="T127">
        <f>Tabla1[[#This Row],[saldo_mora_30]]/Tabla1[[#This Row],[saldo_cartera]]</f>
        <v>0</v>
      </c>
      <c r="U127" t="str">
        <f>VLOOKUP(N127,asesores_ficticio!$A:$C,3,FALSE)</f>
        <v>Cali</v>
      </c>
      <c r="V127" t="str">
        <f t="shared" si="1"/>
        <v>NO</v>
      </c>
    </row>
    <row r="128" spans="1:22" x14ac:dyDescent="0.3">
      <c r="A128" t="s">
        <v>172</v>
      </c>
      <c r="B128" t="s">
        <v>76</v>
      </c>
      <c r="C128" t="s">
        <v>77</v>
      </c>
      <c r="D128" s="1">
        <v>4739482</v>
      </c>
      <c r="E128" s="1">
        <v>-7575005</v>
      </c>
      <c r="F128" s="2">
        <v>45547</v>
      </c>
      <c r="G128" t="s">
        <v>383</v>
      </c>
      <c r="H128">
        <v>1800000</v>
      </c>
      <c r="I128">
        <v>1631700</v>
      </c>
      <c r="J128">
        <v>0</v>
      </c>
      <c r="K128" t="s">
        <v>27</v>
      </c>
      <c r="L128">
        <v>900000</v>
      </c>
      <c r="M128" t="s">
        <v>23</v>
      </c>
      <c r="N128" t="s">
        <v>29</v>
      </c>
      <c r="O128" s="3" t="s">
        <v>371</v>
      </c>
      <c r="P128" s="3">
        <v>62</v>
      </c>
      <c r="Q128" t="s">
        <v>377</v>
      </c>
      <c r="R128" t="s">
        <v>376</v>
      </c>
      <c r="S128">
        <f>IF(Tabla1[[#This Row],[dias_mora]]&gt;30,Tabla1[[#This Row],[saldo_cartera]],0)</f>
        <v>0</v>
      </c>
      <c r="T128">
        <f>Tabla1[[#This Row],[saldo_mora_30]]/Tabla1[[#This Row],[saldo_cartera]]</f>
        <v>0</v>
      </c>
      <c r="U128" t="str">
        <f>VLOOKUP(N128,asesores_ficticio!$A:$C,3,FALSE)</f>
        <v>Rionegro</v>
      </c>
      <c r="V128" t="str">
        <f t="shared" si="1"/>
        <v>NO</v>
      </c>
    </row>
    <row r="129" spans="1:22" x14ac:dyDescent="0.3">
      <c r="A129" t="s">
        <v>173</v>
      </c>
      <c r="B129" t="s">
        <v>46</v>
      </c>
      <c r="C129" t="s">
        <v>21</v>
      </c>
      <c r="D129" s="1">
        <v>6261446</v>
      </c>
      <c r="E129" s="1">
        <v>-75608232</v>
      </c>
      <c r="F129" s="2">
        <v>46006</v>
      </c>
      <c r="G129" t="s">
        <v>385</v>
      </c>
      <c r="H129">
        <v>2500000</v>
      </c>
      <c r="I129">
        <v>1072348</v>
      </c>
      <c r="J129">
        <v>0</v>
      </c>
      <c r="K129" t="s">
        <v>17</v>
      </c>
      <c r="L129">
        <v>1600000</v>
      </c>
      <c r="M129" t="s">
        <v>23</v>
      </c>
      <c r="N129" t="s">
        <v>38</v>
      </c>
      <c r="O129" s="3" t="s">
        <v>370</v>
      </c>
      <c r="P129" s="3">
        <v>27</v>
      </c>
      <c r="Q129" t="s">
        <v>372</v>
      </c>
      <c r="R129" t="s">
        <v>373</v>
      </c>
      <c r="S129">
        <f>IF(Tabla1[[#This Row],[dias_mora]]&gt;30,Tabla1[[#This Row],[saldo_cartera]],0)</f>
        <v>0</v>
      </c>
      <c r="T129">
        <f>Tabla1[[#This Row],[saldo_mora_30]]/Tabla1[[#This Row],[saldo_cartera]]</f>
        <v>0</v>
      </c>
      <c r="U129" t="str">
        <f>VLOOKUP(N129,asesores_ficticio!$A:$C,3,FALSE)</f>
        <v>Barranquilla</v>
      </c>
      <c r="V129" t="str">
        <f t="shared" si="1"/>
        <v>NO</v>
      </c>
    </row>
    <row r="130" spans="1:22" x14ac:dyDescent="0.3">
      <c r="A130" t="s">
        <v>174</v>
      </c>
      <c r="B130" t="s">
        <v>26</v>
      </c>
      <c r="C130" t="s">
        <v>21</v>
      </c>
      <c r="D130" s="1">
        <v>6094422</v>
      </c>
      <c r="E130" s="1">
        <v>-75318148</v>
      </c>
      <c r="F130" s="2">
        <v>45973</v>
      </c>
      <c r="G130" t="s">
        <v>384</v>
      </c>
      <c r="H130">
        <v>1800000</v>
      </c>
      <c r="I130">
        <v>444164</v>
      </c>
      <c r="J130">
        <v>15</v>
      </c>
      <c r="K130" t="s">
        <v>17</v>
      </c>
      <c r="L130">
        <v>900000</v>
      </c>
      <c r="M130" t="s">
        <v>28</v>
      </c>
      <c r="N130" t="s">
        <v>63</v>
      </c>
      <c r="O130" s="3" t="s">
        <v>371</v>
      </c>
      <c r="P130" s="3">
        <v>58</v>
      </c>
      <c r="Q130" t="s">
        <v>375</v>
      </c>
      <c r="R130" t="s">
        <v>376</v>
      </c>
      <c r="S130">
        <f>IF(Tabla1[[#This Row],[dias_mora]]&gt;30,Tabla1[[#This Row],[saldo_cartera]],0)</f>
        <v>0</v>
      </c>
      <c r="T130">
        <f>Tabla1[[#This Row],[saldo_mora_30]]/Tabla1[[#This Row],[saldo_cartera]]</f>
        <v>0</v>
      </c>
      <c r="U130" t="str">
        <f>VLOOKUP(N130,asesores_ficticio!$A:$C,3,FALSE)</f>
        <v>Bogotá</v>
      </c>
      <c r="V130" t="str">
        <f t="shared" ref="V130:V193" si="2">IF(B130=U130,"SI","NO")</f>
        <v>NO</v>
      </c>
    </row>
    <row r="131" spans="1:22" x14ac:dyDescent="0.3">
      <c r="A131" t="s">
        <v>175</v>
      </c>
      <c r="B131" t="s">
        <v>381</v>
      </c>
      <c r="C131" t="s">
        <v>16</v>
      </c>
      <c r="D131" s="1">
        <v>4767218</v>
      </c>
      <c r="E131" s="1">
        <v>-74038211</v>
      </c>
      <c r="F131" s="2">
        <v>45329</v>
      </c>
      <c r="G131" t="s">
        <v>385</v>
      </c>
      <c r="H131">
        <v>4000000</v>
      </c>
      <c r="I131">
        <v>2568180</v>
      </c>
      <c r="J131">
        <v>30</v>
      </c>
      <c r="K131" t="s">
        <v>22</v>
      </c>
      <c r="L131">
        <v>2800000</v>
      </c>
      <c r="M131" t="s">
        <v>31</v>
      </c>
      <c r="N131" t="s">
        <v>61</v>
      </c>
      <c r="O131" s="3" t="s">
        <v>371</v>
      </c>
      <c r="P131" s="3">
        <v>57</v>
      </c>
      <c r="Q131" t="s">
        <v>374</v>
      </c>
      <c r="R131" t="s">
        <v>373</v>
      </c>
      <c r="S131">
        <f>IF(Tabla1[[#This Row],[dias_mora]]&gt;30,Tabla1[[#This Row],[saldo_cartera]],0)</f>
        <v>0</v>
      </c>
      <c r="T131">
        <f>Tabla1[[#This Row],[saldo_mora_30]]/Tabla1[[#This Row],[saldo_cartera]]</f>
        <v>0</v>
      </c>
      <c r="U131" t="str">
        <f>VLOOKUP(N131,asesores_ficticio!$A:$C,3,FALSE)</f>
        <v>Medellín</v>
      </c>
      <c r="V131" t="str">
        <f t="shared" si="2"/>
        <v>NO</v>
      </c>
    </row>
    <row r="132" spans="1:22" x14ac:dyDescent="0.3">
      <c r="A132" t="s">
        <v>176</v>
      </c>
      <c r="B132" t="s">
        <v>15</v>
      </c>
      <c r="C132" t="s">
        <v>16</v>
      </c>
      <c r="D132" s="1">
        <v>4587943</v>
      </c>
      <c r="E132" s="1">
        <v>-74237574</v>
      </c>
      <c r="F132" s="2">
        <v>45059</v>
      </c>
      <c r="G132" t="s">
        <v>383</v>
      </c>
      <c r="H132">
        <v>6000000</v>
      </c>
      <c r="I132">
        <v>5613361</v>
      </c>
      <c r="J132">
        <v>0</v>
      </c>
      <c r="K132" t="s">
        <v>17</v>
      </c>
      <c r="L132">
        <v>900000</v>
      </c>
      <c r="M132" t="s">
        <v>31</v>
      </c>
      <c r="N132" t="s">
        <v>32</v>
      </c>
      <c r="O132" s="3" t="s">
        <v>370</v>
      </c>
      <c r="P132" s="3">
        <v>52</v>
      </c>
      <c r="Q132" t="s">
        <v>377</v>
      </c>
      <c r="R132" t="s">
        <v>376</v>
      </c>
      <c r="S132">
        <f>IF(Tabla1[[#This Row],[dias_mora]]&gt;30,Tabla1[[#This Row],[saldo_cartera]],0)</f>
        <v>0</v>
      </c>
      <c r="T132">
        <f>Tabla1[[#This Row],[saldo_mora_30]]/Tabla1[[#This Row],[saldo_cartera]]</f>
        <v>0</v>
      </c>
      <c r="U132" t="str">
        <f>VLOOKUP(N132,asesores_ficticio!$A:$C,3,FALSE)</f>
        <v>Cali</v>
      </c>
      <c r="V132" t="str">
        <f t="shared" si="2"/>
        <v>NO</v>
      </c>
    </row>
    <row r="133" spans="1:22" x14ac:dyDescent="0.3">
      <c r="A133" t="s">
        <v>177</v>
      </c>
      <c r="B133" t="s">
        <v>76</v>
      </c>
      <c r="C133" t="s">
        <v>77</v>
      </c>
      <c r="D133" s="1">
        <v>47461</v>
      </c>
      <c r="E133" s="1">
        <v>-75619019</v>
      </c>
      <c r="F133" s="2">
        <v>45743</v>
      </c>
      <c r="G133" t="s">
        <v>385</v>
      </c>
      <c r="H133">
        <v>4000000</v>
      </c>
      <c r="I133">
        <v>652161</v>
      </c>
      <c r="J133">
        <v>0</v>
      </c>
      <c r="K133" t="s">
        <v>22</v>
      </c>
      <c r="L133">
        <v>2800000</v>
      </c>
      <c r="M133" t="s">
        <v>31</v>
      </c>
      <c r="N133" t="s">
        <v>35</v>
      </c>
      <c r="O133" s="3" t="s">
        <v>370</v>
      </c>
      <c r="P133" s="3">
        <v>57</v>
      </c>
      <c r="Q133" t="s">
        <v>372</v>
      </c>
      <c r="R133" t="s">
        <v>373</v>
      </c>
      <c r="S133">
        <f>IF(Tabla1[[#This Row],[dias_mora]]&gt;30,Tabla1[[#This Row],[saldo_cartera]],0)</f>
        <v>0</v>
      </c>
      <c r="T133">
        <f>Tabla1[[#This Row],[saldo_mora_30]]/Tabla1[[#This Row],[saldo_cartera]]</f>
        <v>0</v>
      </c>
      <c r="U133" t="str">
        <f>VLOOKUP(N133,asesores_ficticio!$A:$C,3,FALSE)</f>
        <v>Bucaramanga</v>
      </c>
      <c r="V133" t="str">
        <f t="shared" si="2"/>
        <v>NO</v>
      </c>
    </row>
    <row r="134" spans="1:22" x14ac:dyDescent="0.3">
      <c r="A134" t="s">
        <v>178</v>
      </c>
      <c r="B134" t="s">
        <v>379</v>
      </c>
      <c r="C134" t="s">
        <v>21</v>
      </c>
      <c r="D134" s="1">
        <v>6297223</v>
      </c>
      <c r="E134" s="1">
        <v>-75578304</v>
      </c>
      <c r="F134" s="2">
        <v>45460</v>
      </c>
      <c r="G134" t="s">
        <v>382</v>
      </c>
      <c r="H134">
        <v>1200000</v>
      </c>
      <c r="I134">
        <v>287950</v>
      </c>
      <c r="J134">
        <v>0</v>
      </c>
      <c r="K134" t="s">
        <v>48</v>
      </c>
      <c r="L134">
        <v>3500000</v>
      </c>
      <c r="M134" t="s">
        <v>23</v>
      </c>
      <c r="N134" t="s">
        <v>29</v>
      </c>
      <c r="O134" s="3" t="s">
        <v>371</v>
      </c>
      <c r="P134" s="3">
        <v>64</v>
      </c>
      <c r="Q134" t="s">
        <v>372</v>
      </c>
      <c r="R134" t="s">
        <v>378</v>
      </c>
      <c r="S134">
        <f>IF(Tabla1[[#This Row],[dias_mora]]&gt;30,Tabla1[[#This Row],[saldo_cartera]],0)</f>
        <v>0</v>
      </c>
      <c r="T134">
        <f>Tabla1[[#This Row],[saldo_mora_30]]/Tabla1[[#This Row],[saldo_cartera]]</f>
        <v>0</v>
      </c>
      <c r="U134" t="str">
        <f>VLOOKUP(N134,asesores_ficticio!$A:$C,3,FALSE)</f>
        <v>Rionegro</v>
      </c>
      <c r="V134" t="str">
        <f t="shared" si="2"/>
        <v>NO</v>
      </c>
    </row>
    <row r="135" spans="1:22" x14ac:dyDescent="0.3">
      <c r="A135" t="s">
        <v>179</v>
      </c>
      <c r="B135" t="s">
        <v>40</v>
      </c>
      <c r="C135" t="s">
        <v>41</v>
      </c>
      <c r="D135" s="1">
        <v>7083212</v>
      </c>
      <c r="E135" s="1">
        <v>-73102696</v>
      </c>
      <c r="F135" s="2">
        <v>45373</v>
      </c>
      <c r="G135" t="s">
        <v>382</v>
      </c>
      <c r="H135">
        <v>2500000</v>
      </c>
      <c r="I135">
        <v>1383641</v>
      </c>
      <c r="J135">
        <v>0</v>
      </c>
      <c r="K135" t="s">
        <v>17</v>
      </c>
      <c r="L135">
        <v>1300000</v>
      </c>
      <c r="M135" t="s">
        <v>50</v>
      </c>
      <c r="N135" t="s">
        <v>61</v>
      </c>
      <c r="O135" s="3" t="s">
        <v>370</v>
      </c>
      <c r="P135" s="3">
        <v>64</v>
      </c>
      <c r="Q135" t="s">
        <v>377</v>
      </c>
      <c r="R135" t="s">
        <v>376</v>
      </c>
      <c r="S135">
        <f>IF(Tabla1[[#This Row],[dias_mora]]&gt;30,Tabla1[[#This Row],[saldo_cartera]],0)</f>
        <v>0</v>
      </c>
      <c r="T135">
        <f>Tabla1[[#This Row],[saldo_mora_30]]/Tabla1[[#This Row],[saldo_cartera]]</f>
        <v>0</v>
      </c>
      <c r="U135" t="str">
        <f>VLOOKUP(N135,asesores_ficticio!$A:$C,3,FALSE)</f>
        <v>Medellín</v>
      </c>
      <c r="V135" t="str">
        <f t="shared" si="2"/>
        <v>NO</v>
      </c>
    </row>
    <row r="136" spans="1:22" x14ac:dyDescent="0.3">
      <c r="A136" t="s">
        <v>180</v>
      </c>
      <c r="B136" t="s">
        <v>46</v>
      </c>
      <c r="C136" t="s">
        <v>21</v>
      </c>
      <c r="D136" s="1">
        <v>6264574</v>
      </c>
      <c r="E136" s="1">
        <v>-75535367</v>
      </c>
      <c r="F136" s="2">
        <v>46316</v>
      </c>
      <c r="G136" t="s">
        <v>384</v>
      </c>
      <c r="H136">
        <v>2500000</v>
      </c>
      <c r="I136">
        <v>812394</v>
      </c>
      <c r="J136">
        <v>0</v>
      </c>
      <c r="K136" t="s">
        <v>37</v>
      </c>
      <c r="L136">
        <v>2800000</v>
      </c>
      <c r="M136" t="s">
        <v>28</v>
      </c>
      <c r="N136" t="s">
        <v>63</v>
      </c>
      <c r="O136" s="3" t="s">
        <v>370</v>
      </c>
      <c r="P136" s="3">
        <v>46</v>
      </c>
      <c r="Q136" t="s">
        <v>372</v>
      </c>
      <c r="R136" t="s">
        <v>373</v>
      </c>
      <c r="S136">
        <f>IF(Tabla1[[#This Row],[dias_mora]]&gt;30,Tabla1[[#This Row],[saldo_cartera]],0)</f>
        <v>0</v>
      </c>
      <c r="T136">
        <f>Tabla1[[#This Row],[saldo_mora_30]]/Tabla1[[#This Row],[saldo_cartera]]</f>
        <v>0</v>
      </c>
      <c r="U136" t="str">
        <f>VLOOKUP(N136,asesores_ficticio!$A:$C,3,FALSE)</f>
        <v>Bogotá</v>
      </c>
      <c r="V136" t="str">
        <f t="shared" si="2"/>
        <v>NO</v>
      </c>
    </row>
    <row r="137" spans="1:22" x14ac:dyDescent="0.3">
      <c r="A137" t="s">
        <v>181</v>
      </c>
      <c r="B137" t="s">
        <v>381</v>
      </c>
      <c r="C137" t="s">
        <v>16</v>
      </c>
      <c r="D137" s="1">
        <v>4708271</v>
      </c>
      <c r="E137" s="1">
        <v>-7402335</v>
      </c>
      <c r="F137" s="2">
        <v>45000</v>
      </c>
      <c r="G137" t="s">
        <v>383</v>
      </c>
      <c r="H137">
        <v>4000000</v>
      </c>
      <c r="I137">
        <v>1780715</v>
      </c>
      <c r="J137">
        <v>0</v>
      </c>
      <c r="K137" t="s">
        <v>37</v>
      </c>
      <c r="L137">
        <v>3500000</v>
      </c>
      <c r="M137" t="s">
        <v>31</v>
      </c>
      <c r="N137" t="s">
        <v>29</v>
      </c>
      <c r="O137" s="3" t="s">
        <v>371</v>
      </c>
      <c r="P137" s="3">
        <v>29</v>
      </c>
      <c r="Q137" t="s">
        <v>372</v>
      </c>
      <c r="R137" t="s">
        <v>378</v>
      </c>
      <c r="S137">
        <f>IF(Tabla1[[#This Row],[dias_mora]]&gt;30,Tabla1[[#This Row],[saldo_cartera]],0)</f>
        <v>0</v>
      </c>
      <c r="T137">
        <f>Tabla1[[#This Row],[saldo_mora_30]]/Tabla1[[#This Row],[saldo_cartera]]</f>
        <v>0</v>
      </c>
      <c r="U137" t="str">
        <f>VLOOKUP(N137,asesores_ficticio!$A:$C,3,FALSE)</f>
        <v>Rionegro</v>
      </c>
      <c r="V137" t="str">
        <f t="shared" si="2"/>
        <v>NO</v>
      </c>
    </row>
    <row r="138" spans="1:22" x14ac:dyDescent="0.3">
      <c r="A138" t="s">
        <v>182</v>
      </c>
      <c r="B138" t="s">
        <v>15</v>
      </c>
      <c r="C138" t="s">
        <v>16</v>
      </c>
      <c r="D138" s="1">
        <v>4596366</v>
      </c>
      <c r="E138" s="1">
        <v>-74246587</v>
      </c>
      <c r="F138" s="2">
        <v>46106</v>
      </c>
      <c r="G138" t="s">
        <v>382</v>
      </c>
      <c r="H138">
        <v>4000000</v>
      </c>
      <c r="I138">
        <v>1485676</v>
      </c>
      <c r="J138">
        <v>120</v>
      </c>
      <c r="K138" t="s">
        <v>17</v>
      </c>
      <c r="L138">
        <v>1600000</v>
      </c>
      <c r="M138" t="s">
        <v>28</v>
      </c>
      <c r="N138" t="s">
        <v>19</v>
      </c>
      <c r="O138" s="3" t="s">
        <v>370</v>
      </c>
      <c r="P138" s="3">
        <v>54</v>
      </c>
      <c r="Q138" t="s">
        <v>374</v>
      </c>
      <c r="R138" t="s">
        <v>373</v>
      </c>
      <c r="S138">
        <f>IF(Tabla1[[#This Row],[dias_mora]]&gt;30,Tabla1[[#This Row],[saldo_cartera]],0)</f>
        <v>1485676</v>
      </c>
      <c r="T138">
        <f>Tabla1[[#This Row],[saldo_mora_30]]/Tabla1[[#This Row],[saldo_cartera]]</f>
        <v>1</v>
      </c>
      <c r="U138" t="str">
        <f>VLOOKUP(N138,asesores_ficticio!$A:$C,3,FALSE)</f>
        <v>Bello</v>
      </c>
      <c r="V138" t="str">
        <f t="shared" si="2"/>
        <v>NO</v>
      </c>
    </row>
    <row r="139" spans="1:22" x14ac:dyDescent="0.3">
      <c r="A139" t="s">
        <v>183</v>
      </c>
      <c r="B139" t="s">
        <v>15</v>
      </c>
      <c r="C139" t="s">
        <v>16</v>
      </c>
      <c r="D139" s="1">
        <v>4537978</v>
      </c>
      <c r="E139" s="1">
        <v>-74276996</v>
      </c>
      <c r="F139" s="2">
        <v>46309</v>
      </c>
      <c r="G139" t="s">
        <v>385</v>
      </c>
      <c r="H139">
        <v>1800000</v>
      </c>
      <c r="I139">
        <v>559316</v>
      </c>
      <c r="J139">
        <v>0</v>
      </c>
      <c r="K139" t="s">
        <v>22</v>
      </c>
      <c r="L139">
        <v>1600000</v>
      </c>
      <c r="M139" t="s">
        <v>23</v>
      </c>
      <c r="N139" t="s">
        <v>57</v>
      </c>
      <c r="O139" s="3" t="s">
        <v>370</v>
      </c>
      <c r="P139" s="3">
        <v>23</v>
      </c>
      <c r="Q139" t="s">
        <v>372</v>
      </c>
      <c r="R139" t="s">
        <v>373</v>
      </c>
      <c r="S139">
        <f>IF(Tabla1[[#This Row],[dias_mora]]&gt;30,Tabla1[[#This Row],[saldo_cartera]],0)</f>
        <v>0</v>
      </c>
      <c r="T139">
        <f>Tabla1[[#This Row],[saldo_mora_30]]/Tabla1[[#This Row],[saldo_cartera]]</f>
        <v>0</v>
      </c>
      <c r="U139" t="str">
        <f>VLOOKUP(N139,asesores_ficticio!$A:$C,3,FALSE)</f>
        <v>Pereira</v>
      </c>
      <c r="V139" t="str">
        <f t="shared" si="2"/>
        <v>NO</v>
      </c>
    </row>
    <row r="140" spans="1:22" x14ac:dyDescent="0.3">
      <c r="A140" t="s">
        <v>184</v>
      </c>
      <c r="B140" t="s">
        <v>15</v>
      </c>
      <c r="C140" t="s">
        <v>16</v>
      </c>
      <c r="D140" s="1">
        <v>4529673</v>
      </c>
      <c r="E140" s="1">
        <v>-74271105</v>
      </c>
      <c r="F140" s="2">
        <v>44970</v>
      </c>
      <c r="G140" t="s">
        <v>383</v>
      </c>
      <c r="H140">
        <v>2500000</v>
      </c>
      <c r="I140">
        <v>1241982</v>
      </c>
      <c r="J140">
        <v>45</v>
      </c>
      <c r="K140" t="s">
        <v>22</v>
      </c>
      <c r="L140">
        <v>2000000</v>
      </c>
      <c r="M140" t="s">
        <v>18</v>
      </c>
      <c r="N140" t="s">
        <v>57</v>
      </c>
      <c r="O140" s="3" t="s">
        <v>371</v>
      </c>
      <c r="P140" s="3">
        <v>33</v>
      </c>
      <c r="Q140" t="s">
        <v>374</v>
      </c>
      <c r="R140" t="s">
        <v>373</v>
      </c>
      <c r="S140">
        <f>IF(Tabla1[[#This Row],[dias_mora]]&gt;30,Tabla1[[#This Row],[saldo_cartera]],0)</f>
        <v>1241982</v>
      </c>
      <c r="T140">
        <f>Tabla1[[#This Row],[saldo_mora_30]]/Tabla1[[#This Row],[saldo_cartera]]</f>
        <v>1</v>
      </c>
      <c r="U140" t="str">
        <f>VLOOKUP(N140,asesores_ficticio!$A:$C,3,FALSE)</f>
        <v>Pereira</v>
      </c>
      <c r="V140" t="str">
        <f t="shared" si="2"/>
        <v>NO</v>
      </c>
    </row>
    <row r="141" spans="1:22" x14ac:dyDescent="0.3">
      <c r="A141" t="s">
        <v>185</v>
      </c>
      <c r="B141" t="s">
        <v>15</v>
      </c>
      <c r="C141" t="s">
        <v>16</v>
      </c>
      <c r="D141" s="1">
        <v>4507085</v>
      </c>
      <c r="E141" s="1">
        <v>-74251583</v>
      </c>
      <c r="F141" s="2">
        <v>45901</v>
      </c>
      <c r="G141" t="s">
        <v>384</v>
      </c>
      <c r="H141">
        <v>2500000</v>
      </c>
      <c r="I141">
        <v>2124971</v>
      </c>
      <c r="J141">
        <v>5</v>
      </c>
      <c r="K141" t="s">
        <v>37</v>
      </c>
      <c r="L141">
        <v>2000000</v>
      </c>
      <c r="M141" t="s">
        <v>18</v>
      </c>
      <c r="N141" t="s">
        <v>63</v>
      </c>
      <c r="O141" s="3" t="s">
        <v>371</v>
      </c>
      <c r="P141" s="3">
        <v>55</v>
      </c>
      <c r="Q141" t="s">
        <v>375</v>
      </c>
      <c r="R141" t="s">
        <v>373</v>
      </c>
      <c r="S141">
        <f>IF(Tabla1[[#This Row],[dias_mora]]&gt;30,Tabla1[[#This Row],[saldo_cartera]],0)</f>
        <v>0</v>
      </c>
      <c r="T141">
        <f>Tabla1[[#This Row],[saldo_mora_30]]/Tabla1[[#This Row],[saldo_cartera]]</f>
        <v>0</v>
      </c>
      <c r="U141" t="str">
        <f>VLOOKUP(N141,asesores_ficticio!$A:$C,3,FALSE)</f>
        <v>Bogotá</v>
      </c>
      <c r="V141" t="str">
        <f t="shared" si="2"/>
        <v>NO</v>
      </c>
    </row>
    <row r="142" spans="1:22" x14ac:dyDescent="0.3">
      <c r="A142" t="s">
        <v>186</v>
      </c>
      <c r="B142" t="s">
        <v>15</v>
      </c>
      <c r="C142" t="s">
        <v>16</v>
      </c>
      <c r="D142" s="1">
        <v>4621517</v>
      </c>
      <c r="E142" s="1">
        <v>-7423805</v>
      </c>
      <c r="F142" s="2">
        <v>45701</v>
      </c>
      <c r="G142" t="s">
        <v>383</v>
      </c>
      <c r="H142">
        <v>1800000</v>
      </c>
      <c r="I142">
        <v>258271</v>
      </c>
      <c r="J142">
        <v>0</v>
      </c>
      <c r="K142" t="s">
        <v>17</v>
      </c>
      <c r="L142">
        <v>1600000</v>
      </c>
      <c r="M142" t="s">
        <v>23</v>
      </c>
      <c r="N142" t="s">
        <v>57</v>
      </c>
      <c r="O142" s="3" t="s">
        <v>370</v>
      </c>
      <c r="P142" s="3">
        <v>32</v>
      </c>
      <c r="Q142" t="s">
        <v>372</v>
      </c>
      <c r="R142" t="s">
        <v>373</v>
      </c>
      <c r="S142">
        <f>IF(Tabla1[[#This Row],[dias_mora]]&gt;30,Tabla1[[#This Row],[saldo_cartera]],0)</f>
        <v>0</v>
      </c>
      <c r="T142">
        <f>Tabla1[[#This Row],[saldo_mora_30]]/Tabla1[[#This Row],[saldo_cartera]]</f>
        <v>0</v>
      </c>
      <c r="U142" t="str">
        <f>VLOOKUP(N142,asesores_ficticio!$A:$C,3,FALSE)</f>
        <v>Pereira</v>
      </c>
      <c r="V142" t="str">
        <f t="shared" si="2"/>
        <v>NO</v>
      </c>
    </row>
    <row r="143" spans="1:22" x14ac:dyDescent="0.3">
      <c r="A143" t="s">
        <v>187</v>
      </c>
      <c r="B143" t="s">
        <v>76</v>
      </c>
      <c r="C143" t="s">
        <v>77</v>
      </c>
      <c r="D143" s="1">
        <v>475331</v>
      </c>
      <c r="E143" s="1">
        <v>-75618587</v>
      </c>
      <c r="F143" s="2">
        <v>45723</v>
      </c>
      <c r="G143" t="s">
        <v>383</v>
      </c>
      <c r="H143">
        <v>1800000</v>
      </c>
      <c r="I143">
        <v>750993</v>
      </c>
      <c r="J143">
        <v>120</v>
      </c>
      <c r="K143" t="s">
        <v>17</v>
      </c>
      <c r="L143">
        <v>2800000</v>
      </c>
      <c r="M143" t="s">
        <v>50</v>
      </c>
      <c r="N143" t="s">
        <v>61</v>
      </c>
      <c r="O143" s="3" t="s">
        <v>370</v>
      </c>
      <c r="P143" s="3">
        <v>25</v>
      </c>
      <c r="Q143" t="s">
        <v>374</v>
      </c>
      <c r="R143" t="s">
        <v>373</v>
      </c>
      <c r="S143">
        <f>IF(Tabla1[[#This Row],[dias_mora]]&gt;30,Tabla1[[#This Row],[saldo_cartera]],0)</f>
        <v>750993</v>
      </c>
      <c r="T143">
        <f>Tabla1[[#This Row],[saldo_mora_30]]/Tabla1[[#This Row],[saldo_cartera]]</f>
        <v>1</v>
      </c>
      <c r="U143" t="str">
        <f>VLOOKUP(N143,asesores_ficticio!$A:$C,3,FALSE)</f>
        <v>Medellín</v>
      </c>
      <c r="V143" t="str">
        <f t="shared" si="2"/>
        <v>NO</v>
      </c>
    </row>
    <row r="144" spans="1:22" x14ac:dyDescent="0.3">
      <c r="A144" t="s">
        <v>188</v>
      </c>
      <c r="B144" t="s">
        <v>379</v>
      </c>
      <c r="C144" t="s">
        <v>21</v>
      </c>
      <c r="D144" s="1">
        <v>6186126</v>
      </c>
      <c r="E144" s="1">
        <v>-75607913</v>
      </c>
      <c r="F144" s="2">
        <v>45463</v>
      </c>
      <c r="G144" t="s">
        <v>382</v>
      </c>
      <c r="H144">
        <v>1800000</v>
      </c>
      <c r="I144">
        <v>974579</v>
      </c>
      <c r="J144">
        <v>0</v>
      </c>
      <c r="K144" t="s">
        <v>22</v>
      </c>
      <c r="L144">
        <v>2800000</v>
      </c>
      <c r="M144" t="s">
        <v>31</v>
      </c>
      <c r="N144" t="s">
        <v>57</v>
      </c>
      <c r="O144" s="3" t="s">
        <v>370</v>
      </c>
      <c r="P144" s="3">
        <v>54</v>
      </c>
      <c r="Q144" t="s">
        <v>377</v>
      </c>
      <c r="R144" t="s">
        <v>373</v>
      </c>
      <c r="S144">
        <f>IF(Tabla1[[#This Row],[dias_mora]]&gt;30,Tabla1[[#This Row],[saldo_cartera]],0)</f>
        <v>0</v>
      </c>
      <c r="T144">
        <f>Tabla1[[#This Row],[saldo_mora_30]]/Tabla1[[#This Row],[saldo_cartera]]</f>
        <v>0</v>
      </c>
      <c r="U144" t="str">
        <f>VLOOKUP(N144,asesores_ficticio!$A:$C,3,FALSE)</f>
        <v>Pereira</v>
      </c>
      <c r="V144" t="str">
        <f t="shared" si="2"/>
        <v>NO</v>
      </c>
    </row>
    <row r="145" spans="1:22" x14ac:dyDescent="0.3">
      <c r="A145" t="s">
        <v>189</v>
      </c>
      <c r="B145" t="s">
        <v>381</v>
      </c>
      <c r="C145" t="s">
        <v>16</v>
      </c>
      <c r="D145" s="1">
        <v>4725996</v>
      </c>
      <c r="E145" s="1">
        <v>-7407093</v>
      </c>
      <c r="F145" s="2">
        <v>46034</v>
      </c>
      <c r="G145" t="s">
        <v>382</v>
      </c>
      <c r="H145">
        <v>2500000</v>
      </c>
      <c r="I145">
        <v>1381222</v>
      </c>
      <c r="J145">
        <v>15</v>
      </c>
      <c r="K145" t="s">
        <v>48</v>
      </c>
      <c r="L145">
        <v>1600000</v>
      </c>
      <c r="M145" t="s">
        <v>31</v>
      </c>
      <c r="N145" t="s">
        <v>57</v>
      </c>
      <c r="O145" s="3" t="s">
        <v>371</v>
      </c>
      <c r="P145" s="3">
        <v>38</v>
      </c>
      <c r="Q145" t="s">
        <v>375</v>
      </c>
      <c r="R145" t="s">
        <v>373</v>
      </c>
      <c r="S145">
        <f>IF(Tabla1[[#This Row],[dias_mora]]&gt;30,Tabla1[[#This Row],[saldo_cartera]],0)</f>
        <v>0</v>
      </c>
      <c r="T145">
        <f>Tabla1[[#This Row],[saldo_mora_30]]/Tabla1[[#This Row],[saldo_cartera]]</f>
        <v>0</v>
      </c>
      <c r="U145" t="str">
        <f>VLOOKUP(N145,asesores_ficticio!$A:$C,3,FALSE)</f>
        <v>Pereira</v>
      </c>
      <c r="V145" t="str">
        <f t="shared" si="2"/>
        <v>NO</v>
      </c>
    </row>
    <row r="146" spans="1:22" x14ac:dyDescent="0.3">
      <c r="A146" t="s">
        <v>190</v>
      </c>
      <c r="B146" t="s">
        <v>381</v>
      </c>
      <c r="C146" t="s">
        <v>16</v>
      </c>
      <c r="D146" s="1">
        <v>4758481</v>
      </c>
      <c r="E146" s="1">
        <v>-74036048</v>
      </c>
      <c r="F146" s="2">
        <v>45628</v>
      </c>
      <c r="G146" t="s">
        <v>383</v>
      </c>
      <c r="H146">
        <v>4000000</v>
      </c>
      <c r="I146">
        <v>2539486</v>
      </c>
      <c r="J146">
        <v>0</v>
      </c>
      <c r="K146" t="s">
        <v>22</v>
      </c>
      <c r="L146">
        <v>1600000</v>
      </c>
      <c r="M146" t="s">
        <v>28</v>
      </c>
      <c r="N146" t="s">
        <v>57</v>
      </c>
      <c r="O146" s="3" t="s">
        <v>370</v>
      </c>
      <c r="P146" s="3">
        <v>38</v>
      </c>
      <c r="Q146" t="s">
        <v>377</v>
      </c>
      <c r="R146" t="s">
        <v>373</v>
      </c>
      <c r="S146">
        <f>IF(Tabla1[[#This Row],[dias_mora]]&gt;30,Tabla1[[#This Row],[saldo_cartera]],0)</f>
        <v>0</v>
      </c>
      <c r="T146">
        <f>Tabla1[[#This Row],[saldo_mora_30]]/Tabla1[[#This Row],[saldo_cartera]]</f>
        <v>0</v>
      </c>
      <c r="U146" t="str">
        <f>VLOOKUP(N146,asesores_ficticio!$A:$C,3,FALSE)</f>
        <v>Pereira</v>
      </c>
      <c r="V146" t="str">
        <f t="shared" si="2"/>
        <v>NO</v>
      </c>
    </row>
    <row r="147" spans="1:22" x14ac:dyDescent="0.3">
      <c r="A147" t="s">
        <v>191</v>
      </c>
      <c r="B147" t="s">
        <v>70</v>
      </c>
      <c r="C147" t="s">
        <v>71</v>
      </c>
      <c r="D147" s="1">
        <v>3395244</v>
      </c>
      <c r="E147" s="1">
        <v>-76503084</v>
      </c>
      <c r="F147" s="2">
        <v>45149</v>
      </c>
      <c r="G147" t="s">
        <v>383</v>
      </c>
      <c r="H147">
        <v>500000</v>
      </c>
      <c r="I147">
        <v>293342</v>
      </c>
      <c r="J147">
        <v>15</v>
      </c>
      <c r="K147" t="s">
        <v>22</v>
      </c>
      <c r="L147">
        <v>1300000</v>
      </c>
      <c r="M147" t="s">
        <v>31</v>
      </c>
      <c r="N147" t="s">
        <v>29</v>
      </c>
      <c r="O147" s="3" t="s">
        <v>370</v>
      </c>
      <c r="P147" s="3">
        <v>48</v>
      </c>
      <c r="Q147" t="s">
        <v>375</v>
      </c>
      <c r="R147" t="s">
        <v>376</v>
      </c>
      <c r="S147">
        <f>IF(Tabla1[[#This Row],[dias_mora]]&gt;30,Tabla1[[#This Row],[saldo_cartera]],0)</f>
        <v>0</v>
      </c>
      <c r="T147">
        <f>Tabla1[[#This Row],[saldo_mora_30]]/Tabla1[[#This Row],[saldo_cartera]]</f>
        <v>0</v>
      </c>
      <c r="U147" t="str">
        <f>VLOOKUP(N147,asesores_ficticio!$A:$C,3,FALSE)</f>
        <v>Rionegro</v>
      </c>
      <c r="V147" t="str">
        <f t="shared" si="2"/>
        <v>NO</v>
      </c>
    </row>
    <row r="148" spans="1:22" x14ac:dyDescent="0.3">
      <c r="A148" t="s">
        <v>192</v>
      </c>
      <c r="B148" t="s">
        <v>70</v>
      </c>
      <c r="C148" t="s">
        <v>71</v>
      </c>
      <c r="D148" s="1">
        <v>3451891</v>
      </c>
      <c r="E148" s="1">
        <v>-76514164</v>
      </c>
      <c r="F148" s="2">
        <v>45542</v>
      </c>
      <c r="G148" t="s">
        <v>382</v>
      </c>
      <c r="H148">
        <v>1800000</v>
      </c>
      <c r="I148">
        <v>1515411</v>
      </c>
      <c r="J148">
        <v>15</v>
      </c>
      <c r="K148" t="s">
        <v>37</v>
      </c>
      <c r="L148">
        <v>900000</v>
      </c>
      <c r="M148" t="s">
        <v>28</v>
      </c>
      <c r="N148" t="s">
        <v>32</v>
      </c>
      <c r="O148" s="3" t="s">
        <v>370</v>
      </c>
      <c r="P148" s="3">
        <v>35</v>
      </c>
      <c r="Q148" t="s">
        <v>375</v>
      </c>
      <c r="R148" t="s">
        <v>376</v>
      </c>
      <c r="S148">
        <f>IF(Tabla1[[#This Row],[dias_mora]]&gt;30,Tabla1[[#This Row],[saldo_cartera]],0)</f>
        <v>0</v>
      </c>
      <c r="T148">
        <f>Tabla1[[#This Row],[saldo_mora_30]]/Tabla1[[#This Row],[saldo_cartera]]</f>
        <v>0</v>
      </c>
      <c r="U148" t="str">
        <f>VLOOKUP(N148,asesores_ficticio!$A:$C,3,FALSE)</f>
        <v>Cali</v>
      </c>
      <c r="V148" t="str">
        <f t="shared" si="2"/>
        <v>SI</v>
      </c>
    </row>
    <row r="149" spans="1:22" x14ac:dyDescent="0.3">
      <c r="A149" t="s">
        <v>193</v>
      </c>
      <c r="B149" t="s">
        <v>15</v>
      </c>
      <c r="C149" t="s">
        <v>16</v>
      </c>
      <c r="D149" s="1">
        <v>465237</v>
      </c>
      <c r="E149" s="1">
        <v>-74223054</v>
      </c>
      <c r="F149" s="2">
        <v>45946</v>
      </c>
      <c r="G149" t="s">
        <v>385</v>
      </c>
      <c r="H149">
        <v>2500000</v>
      </c>
      <c r="I149">
        <v>977445</v>
      </c>
      <c r="J149">
        <v>0</v>
      </c>
      <c r="K149" t="s">
        <v>22</v>
      </c>
      <c r="L149">
        <v>3500000</v>
      </c>
      <c r="M149" t="s">
        <v>23</v>
      </c>
      <c r="N149" t="s">
        <v>35</v>
      </c>
      <c r="O149" s="3" t="s">
        <v>370</v>
      </c>
      <c r="P149" s="3">
        <v>54</v>
      </c>
      <c r="Q149" t="s">
        <v>372</v>
      </c>
      <c r="R149" t="s">
        <v>378</v>
      </c>
      <c r="S149">
        <f>IF(Tabla1[[#This Row],[dias_mora]]&gt;30,Tabla1[[#This Row],[saldo_cartera]],0)</f>
        <v>0</v>
      </c>
      <c r="T149">
        <f>Tabla1[[#This Row],[saldo_mora_30]]/Tabla1[[#This Row],[saldo_cartera]]</f>
        <v>0</v>
      </c>
      <c r="U149" t="str">
        <f>VLOOKUP(N149,asesores_ficticio!$A:$C,3,FALSE)</f>
        <v>Bucaramanga</v>
      </c>
      <c r="V149" t="str">
        <f t="shared" si="2"/>
        <v>NO</v>
      </c>
    </row>
    <row r="150" spans="1:22" x14ac:dyDescent="0.3">
      <c r="A150" t="s">
        <v>194</v>
      </c>
      <c r="B150" t="s">
        <v>381</v>
      </c>
      <c r="C150" t="s">
        <v>16</v>
      </c>
      <c r="D150" s="1">
        <v>4666979</v>
      </c>
      <c r="E150" s="1">
        <v>-73996434</v>
      </c>
      <c r="F150" s="2">
        <v>46189</v>
      </c>
      <c r="G150" t="s">
        <v>382</v>
      </c>
      <c r="H150">
        <v>1200000</v>
      </c>
      <c r="I150">
        <v>906598</v>
      </c>
      <c r="J150">
        <v>15</v>
      </c>
      <c r="K150" t="s">
        <v>17</v>
      </c>
      <c r="L150">
        <v>3500000</v>
      </c>
      <c r="M150" t="s">
        <v>23</v>
      </c>
      <c r="N150" t="s">
        <v>63</v>
      </c>
      <c r="O150" s="3" t="s">
        <v>371</v>
      </c>
      <c r="P150" s="3">
        <v>42</v>
      </c>
      <c r="Q150" t="s">
        <v>375</v>
      </c>
      <c r="R150" t="s">
        <v>378</v>
      </c>
      <c r="S150">
        <f>IF(Tabla1[[#This Row],[dias_mora]]&gt;30,Tabla1[[#This Row],[saldo_cartera]],0)</f>
        <v>0</v>
      </c>
      <c r="T150">
        <f>Tabla1[[#This Row],[saldo_mora_30]]/Tabla1[[#This Row],[saldo_cartera]]</f>
        <v>0</v>
      </c>
      <c r="U150" t="str">
        <f>VLOOKUP(N150,asesores_ficticio!$A:$C,3,FALSE)</f>
        <v>Bogotá</v>
      </c>
      <c r="V150" t="str">
        <f t="shared" si="2"/>
        <v>SI</v>
      </c>
    </row>
    <row r="151" spans="1:22" x14ac:dyDescent="0.3">
      <c r="A151" t="s">
        <v>195</v>
      </c>
      <c r="B151" t="s">
        <v>46</v>
      </c>
      <c r="C151" t="s">
        <v>21</v>
      </c>
      <c r="D151" s="1">
        <v>6349056</v>
      </c>
      <c r="E151" s="1">
        <v>-75551089</v>
      </c>
      <c r="F151" s="2">
        <v>45667</v>
      </c>
      <c r="G151" t="s">
        <v>384</v>
      </c>
      <c r="H151">
        <v>1800000</v>
      </c>
      <c r="I151">
        <v>1432118</v>
      </c>
      <c r="J151">
        <v>90</v>
      </c>
      <c r="K151" t="s">
        <v>27</v>
      </c>
      <c r="L151">
        <v>1300000</v>
      </c>
      <c r="M151" t="s">
        <v>31</v>
      </c>
      <c r="N151" t="s">
        <v>63</v>
      </c>
      <c r="O151" s="3" t="s">
        <v>370</v>
      </c>
      <c r="P151" s="3">
        <v>46</v>
      </c>
      <c r="Q151" t="s">
        <v>374</v>
      </c>
      <c r="R151" t="s">
        <v>376</v>
      </c>
      <c r="S151">
        <f>IF(Tabla1[[#This Row],[dias_mora]]&gt;30,Tabla1[[#This Row],[saldo_cartera]],0)</f>
        <v>1432118</v>
      </c>
      <c r="T151">
        <f>Tabla1[[#This Row],[saldo_mora_30]]/Tabla1[[#This Row],[saldo_cartera]]</f>
        <v>1</v>
      </c>
      <c r="U151" t="str">
        <f>VLOOKUP(N151,asesores_ficticio!$A:$C,3,FALSE)</f>
        <v>Bogotá</v>
      </c>
      <c r="V151" t="str">
        <f t="shared" si="2"/>
        <v>NO</v>
      </c>
    </row>
    <row r="152" spans="1:22" x14ac:dyDescent="0.3">
      <c r="A152" t="s">
        <v>196</v>
      </c>
      <c r="B152" t="s">
        <v>34</v>
      </c>
      <c r="C152" t="s">
        <v>386</v>
      </c>
      <c r="D152" s="1">
        <v>10918138</v>
      </c>
      <c r="E152" s="1">
        <v>-74743928</v>
      </c>
      <c r="F152" s="2">
        <v>45223</v>
      </c>
      <c r="G152" t="s">
        <v>385</v>
      </c>
      <c r="H152">
        <v>1200000</v>
      </c>
      <c r="I152">
        <v>1071684</v>
      </c>
      <c r="J152">
        <v>5</v>
      </c>
      <c r="K152" t="s">
        <v>22</v>
      </c>
      <c r="L152">
        <v>1300000</v>
      </c>
      <c r="M152" t="s">
        <v>50</v>
      </c>
      <c r="N152" t="s">
        <v>35</v>
      </c>
      <c r="O152" s="3" t="s">
        <v>371</v>
      </c>
      <c r="P152" s="3">
        <v>50</v>
      </c>
      <c r="Q152" t="s">
        <v>375</v>
      </c>
      <c r="R152" t="s">
        <v>376</v>
      </c>
      <c r="S152">
        <f>IF(Tabla1[[#This Row],[dias_mora]]&gt;30,Tabla1[[#This Row],[saldo_cartera]],0)</f>
        <v>0</v>
      </c>
      <c r="T152">
        <f>Tabla1[[#This Row],[saldo_mora_30]]/Tabla1[[#This Row],[saldo_cartera]]</f>
        <v>0</v>
      </c>
      <c r="U152" t="str">
        <f>VLOOKUP(N152,asesores_ficticio!$A:$C,3,FALSE)</f>
        <v>Bucaramanga</v>
      </c>
      <c r="V152" t="str">
        <f t="shared" si="2"/>
        <v>NO</v>
      </c>
    </row>
    <row r="153" spans="1:22" x14ac:dyDescent="0.3">
      <c r="A153" t="s">
        <v>197</v>
      </c>
      <c r="B153" t="s">
        <v>26</v>
      </c>
      <c r="C153" t="s">
        <v>21</v>
      </c>
      <c r="D153" s="1">
        <v>6176871</v>
      </c>
      <c r="E153" s="1">
        <v>-75446201</v>
      </c>
      <c r="F153" s="2">
        <v>45309</v>
      </c>
      <c r="G153" t="s">
        <v>385</v>
      </c>
      <c r="H153">
        <v>1800000</v>
      </c>
      <c r="I153">
        <v>685349</v>
      </c>
      <c r="J153">
        <v>0</v>
      </c>
      <c r="K153" t="s">
        <v>37</v>
      </c>
      <c r="L153">
        <v>3500000</v>
      </c>
      <c r="M153" t="s">
        <v>31</v>
      </c>
      <c r="N153" t="s">
        <v>38</v>
      </c>
      <c r="O153" s="3" t="s">
        <v>371</v>
      </c>
      <c r="P153" s="3">
        <v>21</v>
      </c>
      <c r="Q153" t="s">
        <v>372</v>
      </c>
      <c r="R153" t="s">
        <v>378</v>
      </c>
      <c r="S153">
        <f>IF(Tabla1[[#This Row],[dias_mora]]&gt;30,Tabla1[[#This Row],[saldo_cartera]],0)</f>
        <v>0</v>
      </c>
      <c r="T153">
        <f>Tabla1[[#This Row],[saldo_mora_30]]/Tabla1[[#This Row],[saldo_cartera]]</f>
        <v>0</v>
      </c>
      <c r="U153" t="str">
        <f>VLOOKUP(N153,asesores_ficticio!$A:$C,3,FALSE)</f>
        <v>Barranquilla</v>
      </c>
      <c r="V153" t="str">
        <f t="shared" si="2"/>
        <v>NO</v>
      </c>
    </row>
    <row r="154" spans="1:22" x14ac:dyDescent="0.3">
      <c r="A154" t="s">
        <v>198</v>
      </c>
      <c r="B154" t="s">
        <v>26</v>
      </c>
      <c r="C154" t="s">
        <v>21</v>
      </c>
      <c r="D154" s="1">
        <v>6195746</v>
      </c>
      <c r="E154" s="1">
        <v>-75408641</v>
      </c>
      <c r="F154" s="2">
        <v>45559</v>
      </c>
      <c r="G154" t="s">
        <v>384</v>
      </c>
      <c r="H154">
        <v>1200000</v>
      </c>
      <c r="I154">
        <v>778816</v>
      </c>
      <c r="J154">
        <v>45</v>
      </c>
      <c r="K154" t="s">
        <v>22</v>
      </c>
      <c r="L154">
        <v>900000</v>
      </c>
      <c r="M154" t="s">
        <v>31</v>
      </c>
      <c r="N154" t="s">
        <v>42</v>
      </c>
      <c r="O154" s="3" t="s">
        <v>370</v>
      </c>
      <c r="P154" s="3">
        <v>54</v>
      </c>
      <c r="Q154" t="s">
        <v>374</v>
      </c>
      <c r="R154" t="s">
        <v>376</v>
      </c>
      <c r="S154">
        <f>IF(Tabla1[[#This Row],[dias_mora]]&gt;30,Tabla1[[#This Row],[saldo_cartera]],0)</f>
        <v>778816</v>
      </c>
      <c r="T154">
        <f>Tabla1[[#This Row],[saldo_mora_30]]/Tabla1[[#This Row],[saldo_cartera]]</f>
        <v>1</v>
      </c>
      <c r="U154" t="str">
        <f>VLOOKUP(N154,asesores_ficticio!$A:$C,3,FALSE)</f>
        <v>Itagüí</v>
      </c>
      <c r="V154" t="str">
        <f t="shared" si="2"/>
        <v>NO</v>
      </c>
    </row>
    <row r="155" spans="1:22" x14ac:dyDescent="0.3">
      <c r="A155" t="s">
        <v>199</v>
      </c>
      <c r="B155" t="s">
        <v>379</v>
      </c>
      <c r="C155" t="s">
        <v>21</v>
      </c>
      <c r="D155" s="1">
        <v>6323747</v>
      </c>
      <c r="E155" s="1">
        <v>-75597681</v>
      </c>
      <c r="F155" s="2">
        <v>44936</v>
      </c>
      <c r="G155" t="s">
        <v>384</v>
      </c>
      <c r="H155">
        <v>1800000</v>
      </c>
      <c r="I155">
        <v>465057</v>
      </c>
      <c r="J155">
        <v>15</v>
      </c>
      <c r="K155" t="s">
        <v>27</v>
      </c>
      <c r="L155">
        <v>1600000</v>
      </c>
      <c r="M155" t="s">
        <v>23</v>
      </c>
      <c r="N155" t="s">
        <v>38</v>
      </c>
      <c r="O155" s="3" t="s">
        <v>370</v>
      </c>
      <c r="P155" s="3">
        <v>39</v>
      </c>
      <c r="Q155" t="s">
        <v>375</v>
      </c>
      <c r="R155" t="s">
        <v>373</v>
      </c>
      <c r="S155">
        <f>IF(Tabla1[[#This Row],[dias_mora]]&gt;30,Tabla1[[#This Row],[saldo_cartera]],0)</f>
        <v>0</v>
      </c>
      <c r="T155">
        <f>Tabla1[[#This Row],[saldo_mora_30]]/Tabla1[[#This Row],[saldo_cartera]]</f>
        <v>0</v>
      </c>
      <c r="U155" t="str">
        <f>VLOOKUP(N155,asesores_ficticio!$A:$C,3,FALSE)</f>
        <v>Barranquilla</v>
      </c>
      <c r="V155" t="str">
        <f t="shared" si="2"/>
        <v>NO</v>
      </c>
    </row>
    <row r="156" spans="1:22" x14ac:dyDescent="0.3">
      <c r="A156" t="s">
        <v>200</v>
      </c>
      <c r="B156" t="s">
        <v>40</v>
      </c>
      <c r="C156" t="s">
        <v>41</v>
      </c>
      <c r="D156" s="1">
        <v>7123191</v>
      </c>
      <c r="E156" s="1">
        <v>-73060418</v>
      </c>
      <c r="F156" s="2">
        <v>45083</v>
      </c>
      <c r="G156" t="s">
        <v>383</v>
      </c>
      <c r="H156">
        <v>800000</v>
      </c>
      <c r="I156">
        <v>658721</v>
      </c>
      <c r="J156">
        <v>0</v>
      </c>
      <c r="K156" t="s">
        <v>27</v>
      </c>
      <c r="L156">
        <v>1300000</v>
      </c>
      <c r="M156" t="s">
        <v>18</v>
      </c>
      <c r="N156" t="s">
        <v>61</v>
      </c>
      <c r="O156" s="3" t="s">
        <v>370</v>
      </c>
      <c r="P156" s="3">
        <v>62</v>
      </c>
      <c r="Q156" t="s">
        <v>377</v>
      </c>
      <c r="R156" t="s">
        <v>376</v>
      </c>
      <c r="S156">
        <f>IF(Tabla1[[#This Row],[dias_mora]]&gt;30,Tabla1[[#This Row],[saldo_cartera]],0)</f>
        <v>0</v>
      </c>
      <c r="T156">
        <f>Tabla1[[#This Row],[saldo_mora_30]]/Tabla1[[#This Row],[saldo_cartera]]</f>
        <v>0</v>
      </c>
      <c r="U156" t="str">
        <f>VLOOKUP(N156,asesores_ficticio!$A:$C,3,FALSE)</f>
        <v>Medellín</v>
      </c>
      <c r="V156" t="str">
        <f t="shared" si="2"/>
        <v>NO</v>
      </c>
    </row>
    <row r="157" spans="1:22" x14ac:dyDescent="0.3">
      <c r="A157" t="s">
        <v>201</v>
      </c>
      <c r="B157" t="s">
        <v>15</v>
      </c>
      <c r="C157" t="s">
        <v>16</v>
      </c>
      <c r="D157" s="1">
        <v>4625823</v>
      </c>
      <c r="E157" s="1">
        <v>-74205755</v>
      </c>
      <c r="F157" s="2">
        <v>46220</v>
      </c>
      <c r="G157" t="s">
        <v>382</v>
      </c>
      <c r="H157">
        <v>6000000</v>
      </c>
      <c r="I157">
        <v>1585123</v>
      </c>
      <c r="J157">
        <v>5</v>
      </c>
      <c r="K157" t="s">
        <v>48</v>
      </c>
      <c r="L157">
        <v>3500000</v>
      </c>
      <c r="M157" t="s">
        <v>31</v>
      </c>
      <c r="N157" t="s">
        <v>19</v>
      </c>
      <c r="O157" s="3" t="s">
        <v>370</v>
      </c>
      <c r="P157" s="3">
        <v>51</v>
      </c>
      <c r="Q157" t="s">
        <v>375</v>
      </c>
      <c r="R157" t="s">
        <v>378</v>
      </c>
      <c r="S157">
        <f>IF(Tabla1[[#This Row],[dias_mora]]&gt;30,Tabla1[[#This Row],[saldo_cartera]],0)</f>
        <v>0</v>
      </c>
      <c r="T157">
        <f>Tabla1[[#This Row],[saldo_mora_30]]/Tabla1[[#This Row],[saldo_cartera]]</f>
        <v>0</v>
      </c>
      <c r="U157" t="str">
        <f>VLOOKUP(N157,asesores_ficticio!$A:$C,3,FALSE)</f>
        <v>Bello</v>
      </c>
      <c r="V157" t="str">
        <f t="shared" si="2"/>
        <v>NO</v>
      </c>
    </row>
    <row r="158" spans="1:22" x14ac:dyDescent="0.3">
      <c r="A158" t="s">
        <v>202</v>
      </c>
      <c r="B158" t="s">
        <v>380</v>
      </c>
      <c r="C158" t="s">
        <v>21</v>
      </c>
      <c r="D158" s="1">
        <v>624897</v>
      </c>
      <c r="E158" s="1">
        <v>-75615807</v>
      </c>
      <c r="F158" s="2">
        <v>45818</v>
      </c>
      <c r="G158" t="s">
        <v>384</v>
      </c>
      <c r="H158">
        <v>800000</v>
      </c>
      <c r="I158">
        <v>84644</v>
      </c>
      <c r="J158">
        <v>0</v>
      </c>
      <c r="K158" t="s">
        <v>27</v>
      </c>
      <c r="L158">
        <v>2000000</v>
      </c>
      <c r="M158" t="s">
        <v>23</v>
      </c>
      <c r="N158" t="s">
        <v>29</v>
      </c>
      <c r="O158" s="3" t="s">
        <v>370</v>
      </c>
      <c r="P158" s="3">
        <v>40</v>
      </c>
      <c r="Q158" t="s">
        <v>372</v>
      </c>
      <c r="R158" t="s">
        <v>373</v>
      </c>
      <c r="S158">
        <f>IF(Tabla1[[#This Row],[dias_mora]]&gt;30,Tabla1[[#This Row],[saldo_cartera]],0)</f>
        <v>0</v>
      </c>
      <c r="T158">
        <f>Tabla1[[#This Row],[saldo_mora_30]]/Tabla1[[#This Row],[saldo_cartera]]</f>
        <v>0</v>
      </c>
      <c r="U158" t="str">
        <f>VLOOKUP(N158,asesores_ficticio!$A:$C,3,FALSE)</f>
        <v>Rionegro</v>
      </c>
      <c r="V158" t="str">
        <f t="shared" si="2"/>
        <v>NO</v>
      </c>
    </row>
    <row r="159" spans="1:22" x14ac:dyDescent="0.3">
      <c r="A159" t="s">
        <v>203</v>
      </c>
      <c r="B159" t="s">
        <v>379</v>
      </c>
      <c r="C159" t="s">
        <v>21</v>
      </c>
      <c r="D159" s="1">
        <v>6271046</v>
      </c>
      <c r="E159" s="1">
        <v>-75586737</v>
      </c>
      <c r="F159" s="2">
        <v>45995</v>
      </c>
      <c r="G159" t="s">
        <v>382</v>
      </c>
      <c r="H159">
        <v>800000</v>
      </c>
      <c r="I159">
        <v>355683</v>
      </c>
      <c r="J159">
        <v>0</v>
      </c>
      <c r="K159" t="s">
        <v>27</v>
      </c>
      <c r="L159">
        <v>3500000</v>
      </c>
      <c r="M159" t="s">
        <v>28</v>
      </c>
      <c r="N159" t="s">
        <v>29</v>
      </c>
      <c r="O159" s="3" t="s">
        <v>371</v>
      </c>
      <c r="P159" s="3">
        <v>42</v>
      </c>
      <c r="Q159" t="s">
        <v>372</v>
      </c>
      <c r="R159" t="s">
        <v>378</v>
      </c>
      <c r="S159">
        <f>IF(Tabla1[[#This Row],[dias_mora]]&gt;30,Tabla1[[#This Row],[saldo_cartera]],0)</f>
        <v>0</v>
      </c>
      <c r="T159">
        <f>Tabla1[[#This Row],[saldo_mora_30]]/Tabla1[[#This Row],[saldo_cartera]]</f>
        <v>0</v>
      </c>
      <c r="U159" t="str">
        <f>VLOOKUP(N159,asesores_ficticio!$A:$C,3,FALSE)</f>
        <v>Rionegro</v>
      </c>
      <c r="V159" t="str">
        <f t="shared" si="2"/>
        <v>NO</v>
      </c>
    </row>
    <row r="160" spans="1:22" x14ac:dyDescent="0.3">
      <c r="A160" t="s">
        <v>204</v>
      </c>
      <c r="B160" t="s">
        <v>26</v>
      </c>
      <c r="C160" t="s">
        <v>21</v>
      </c>
      <c r="D160" s="1">
        <v>6227978</v>
      </c>
      <c r="E160" s="1">
        <v>-75378091</v>
      </c>
      <c r="F160" s="2">
        <v>46291</v>
      </c>
      <c r="G160" t="s">
        <v>385</v>
      </c>
      <c r="H160">
        <v>1800000</v>
      </c>
      <c r="I160">
        <v>1324034</v>
      </c>
      <c r="J160">
        <v>5</v>
      </c>
      <c r="K160" t="s">
        <v>22</v>
      </c>
      <c r="L160">
        <v>2000000</v>
      </c>
      <c r="M160" t="s">
        <v>28</v>
      </c>
      <c r="N160" t="s">
        <v>19</v>
      </c>
      <c r="O160" s="3" t="s">
        <v>371</v>
      </c>
      <c r="P160" s="3">
        <v>58</v>
      </c>
      <c r="Q160" t="s">
        <v>375</v>
      </c>
      <c r="R160" t="s">
        <v>373</v>
      </c>
      <c r="S160">
        <f>IF(Tabla1[[#This Row],[dias_mora]]&gt;30,Tabla1[[#This Row],[saldo_cartera]],0)</f>
        <v>0</v>
      </c>
      <c r="T160">
        <f>Tabla1[[#This Row],[saldo_mora_30]]/Tabla1[[#This Row],[saldo_cartera]]</f>
        <v>0</v>
      </c>
      <c r="U160" t="str">
        <f>VLOOKUP(N160,asesores_ficticio!$A:$C,3,FALSE)</f>
        <v>Bello</v>
      </c>
      <c r="V160" t="str">
        <f t="shared" si="2"/>
        <v>NO</v>
      </c>
    </row>
    <row r="161" spans="1:22" x14ac:dyDescent="0.3">
      <c r="A161" t="s">
        <v>205</v>
      </c>
      <c r="B161" t="s">
        <v>40</v>
      </c>
      <c r="C161" t="s">
        <v>41</v>
      </c>
      <c r="D161" s="1">
        <v>711078</v>
      </c>
      <c r="E161" s="1">
        <v>-73090097</v>
      </c>
      <c r="F161" s="2">
        <v>45583</v>
      </c>
      <c r="G161" t="s">
        <v>385</v>
      </c>
      <c r="H161">
        <v>500000</v>
      </c>
      <c r="I161">
        <v>439829</v>
      </c>
      <c r="J161">
        <v>0</v>
      </c>
      <c r="K161" t="s">
        <v>22</v>
      </c>
      <c r="L161">
        <v>2800000</v>
      </c>
      <c r="M161" t="s">
        <v>23</v>
      </c>
      <c r="N161" t="s">
        <v>35</v>
      </c>
      <c r="O161" s="3" t="s">
        <v>370</v>
      </c>
      <c r="P161" s="3">
        <v>61</v>
      </c>
      <c r="Q161" t="s">
        <v>377</v>
      </c>
      <c r="R161" t="s">
        <v>373</v>
      </c>
      <c r="S161">
        <f>IF(Tabla1[[#This Row],[dias_mora]]&gt;30,Tabla1[[#This Row],[saldo_cartera]],0)</f>
        <v>0</v>
      </c>
      <c r="T161">
        <f>Tabla1[[#This Row],[saldo_mora_30]]/Tabla1[[#This Row],[saldo_cartera]]</f>
        <v>0</v>
      </c>
      <c r="U161" t="str">
        <f>VLOOKUP(N161,asesores_ficticio!$A:$C,3,FALSE)</f>
        <v>Bucaramanga</v>
      </c>
      <c r="V161" t="str">
        <f t="shared" si="2"/>
        <v>SI</v>
      </c>
    </row>
    <row r="162" spans="1:22" x14ac:dyDescent="0.3">
      <c r="A162" t="s">
        <v>206</v>
      </c>
      <c r="B162" t="s">
        <v>34</v>
      </c>
      <c r="C162" t="s">
        <v>386</v>
      </c>
      <c r="D162" s="1">
        <v>10902498</v>
      </c>
      <c r="E162" s="1">
        <v>-74843536</v>
      </c>
      <c r="F162" s="2">
        <v>45143</v>
      </c>
      <c r="G162" t="s">
        <v>383</v>
      </c>
      <c r="H162">
        <v>2500000</v>
      </c>
      <c r="I162">
        <v>1288759</v>
      </c>
      <c r="J162">
        <v>45</v>
      </c>
      <c r="K162" t="s">
        <v>37</v>
      </c>
      <c r="L162">
        <v>2000000</v>
      </c>
      <c r="M162" t="s">
        <v>28</v>
      </c>
      <c r="N162" t="s">
        <v>61</v>
      </c>
      <c r="O162" s="3" t="s">
        <v>370</v>
      </c>
      <c r="P162" s="3">
        <v>54</v>
      </c>
      <c r="Q162" t="s">
        <v>374</v>
      </c>
      <c r="R162" t="s">
        <v>373</v>
      </c>
      <c r="S162">
        <f>IF(Tabla1[[#This Row],[dias_mora]]&gt;30,Tabla1[[#This Row],[saldo_cartera]],0)</f>
        <v>1288759</v>
      </c>
      <c r="T162">
        <f>Tabla1[[#This Row],[saldo_mora_30]]/Tabla1[[#This Row],[saldo_cartera]]</f>
        <v>1</v>
      </c>
      <c r="U162" t="str">
        <f>VLOOKUP(N162,asesores_ficticio!$A:$C,3,FALSE)</f>
        <v>Medellín</v>
      </c>
      <c r="V162" t="str">
        <f t="shared" si="2"/>
        <v>NO</v>
      </c>
    </row>
    <row r="163" spans="1:22" x14ac:dyDescent="0.3">
      <c r="A163" t="s">
        <v>207</v>
      </c>
      <c r="B163" t="s">
        <v>40</v>
      </c>
      <c r="C163" t="s">
        <v>41</v>
      </c>
      <c r="D163" s="1">
        <v>7113281</v>
      </c>
      <c r="E163" s="1">
        <v>-73073594</v>
      </c>
      <c r="F163" s="2">
        <v>45568</v>
      </c>
      <c r="G163" t="s">
        <v>384</v>
      </c>
      <c r="H163">
        <v>4000000</v>
      </c>
      <c r="I163">
        <v>474020</v>
      </c>
      <c r="J163">
        <v>0</v>
      </c>
      <c r="K163" t="s">
        <v>37</v>
      </c>
      <c r="L163">
        <v>900000</v>
      </c>
      <c r="M163" t="s">
        <v>23</v>
      </c>
      <c r="N163" t="s">
        <v>19</v>
      </c>
      <c r="O163" s="3" t="s">
        <v>371</v>
      </c>
      <c r="P163" s="3">
        <v>51</v>
      </c>
      <c r="Q163" t="s">
        <v>372</v>
      </c>
      <c r="R163" t="s">
        <v>376</v>
      </c>
      <c r="S163">
        <f>IF(Tabla1[[#This Row],[dias_mora]]&gt;30,Tabla1[[#This Row],[saldo_cartera]],0)</f>
        <v>0</v>
      </c>
      <c r="T163">
        <f>Tabla1[[#This Row],[saldo_mora_30]]/Tabla1[[#This Row],[saldo_cartera]]</f>
        <v>0</v>
      </c>
      <c r="U163" t="str">
        <f>VLOOKUP(N163,asesores_ficticio!$A:$C,3,FALSE)</f>
        <v>Bello</v>
      </c>
      <c r="V163" t="str">
        <f t="shared" si="2"/>
        <v>NO</v>
      </c>
    </row>
    <row r="164" spans="1:22" x14ac:dyDescent="0.3">
      <c r="A164" t="s">
        <v>208</v>
      </c>
      <c r="B164" t="s">
        <v>40</v>
      </c>
      <c r="C164" t="s">
        <v>41</v>
      </c>
      <c r="D164" s="1">
        <v>719836</v>
      </c>
      <c r="E164" s="1">
        <v>-73053167</v>
      </c>
      <c r="F164" s="2">
        <v>46106</v>
      </c>
      <c r="G164" t="s">
        <v>385</v>
      </c>
      <c r="H164">
        <v>500000</v>
      </c>
      <c r="I164">
        <v>469108</v>
      </c>
      <c r="J164">
        <v>0</v>
      </c>
      <c r="K164" t="s">
        <v>37</v>
      </c>
      <c r="L164">
        <v>1600000</v>
      </c>
      <c r="M164" t="s">
        <v>23</v>
      </c>
      <c r="N164" t="s">
        <v>32</v>
      </c>
      <c r="O164" s="3" t="s">
        <v>371</v>
      </c>
      <c r="P164" s="3">
        <v>32</v>
      </c>
      <c r="Q164" t="s">
        <v>377</v>
      </c>
      <c r="R164" t="s">
        <v>373</v>
      </c>
      <c r="S164">
        <f>IF(Tabla1[[#This Row],[dias_mora]]&gt;30,Tabla1[[#This Row],[saldo_cartera]],0)</f>
        <v>0</v>
      </c>
      <c r="T164">
        <f>Tabla1[[#This Row],[saldo_mora_30]]/Tabla1[[#This Row],[saldo_cartera]]</f>
        <v>0</v>
      </c>
      <c r="U164" t="str">
        <f>VLOOKUP(N164,asesores_ficticio!$A:$C,3,FALSE)</f>
        <v>Cali</v>
      </c>
      <c r="V164" t="str">
        <f t="shared" si="2"/>
        <v>NO</v>
      </c>
    </row>
    <row r="165" spans="1:22" x14ac:dyDescent="0.3">
      <c r="A165" t="s">
        <v>209</v>
      </c>
      <c r="B165" t="s">
        <v>34</v>
      </c>
      <c r="C165" t="s">
        <v>386</v>
      </c>
      <c r="D165" s="1">
        <v>11023039</v>
      </c>
      <c r="E165" s="1">
        <v>-74731317</v>
      </c>
      <c r="F165" s="2">
        <v>45624</v>
      </c>
      <c r="G165" t="s">
        <v>382</v>
      </c>
      <c r="H165">
        <v>1800000</v>
      </c>
      <c r="I165">
        <v>302782</v>
      </c>
      <c r="J165">
        <v>90</v>
      </c>
      <c r="K165" t="s">
        <v>48</v>
      </c>
      <c r="L165">
        <v>2800000</v>
      </c>
      <c r="M165" t="s">
        <v>18</v>
      </c>
      <c r="N165" t="s">
        <v>35</v>
      </c>
      <c r="O165" s="3" t="s">
        <v>371</v>
      </c>
      <c r="P165" s="3">
        <v>27</v>
      </c>
      <c r="Q165" t="s">
        <v>374</v>
      </c>
      <c r="R165" t="s">
        <v>373</v>
      </c>
      <c r="S165">
        <f>IF(Tabla1[[#This Row],[dias_mora]]&gt;30,Tabla1[[#This Row],[saldo_cartera]],0)</f>
        <v>302782</v>
      </c>
      <c r="T165">
        <f>Tabla1[[#This Row],[saldo_mora_30]]/Tabla1[[#This Row],[saldo_cartera]]</f>
        <v>1</v>
      </c>
      <c r="U165" t="str">
        <f>VLOOKUP(N165,asesores_ficticio!$A:$C,3,FALSE)</f>
        <v>Bucaramanga</v>
      </c>
      <c r="V165" t="str">
        <f t="shared" si="2"/>
        <v>NO</v>
      </c>
    </row>
    <row r="166" spans="1:22" x14ac:dyDescent="0.3">
      <c r="A166" t="s">
        <v>210</v>
      </c>
      <c r="B166" t="s">
        <v>70</v>
      </c>
      <c r="C166" t="s">
        <v>71</v>
      </c>
      <c r="D166" s="1">
        <v>3456215</v>
      </c>
      <c r="E166" s="1">
        <v>-76495543</v>
      </c>
      <c r="F166" s="2">
        <v>46350</v>
      </c>
      <c r="G166" t="s">
        <v>383</v>
      </c>
      <c r="H166">
        <v>800000</v>
      </c>
      <c r="I166">
        <v>647679</v>
      </c>
      <c r="J166">
        <v>15</v>
      </c>
      <c r="K166" t="s">
        <v>17</v>
      </c>
      <c r="L166">
        <v>1600000</v>
      </c>
      <c r="M166" t="s">
        <v>31</v>
      </c>
      <c r="N166" t="s">
        <v>29</v>
      </c>
      <c r="O166" s="3" t="s">
        <v>371</v>
      </c>
      <c r="P166" s="3">
        <v>49</v>
      </c>
      <c r="Q166" t="s">
        <v>375</v>
      </c>
      <c r="R166" t="s">
        <v>373</v>
      </c>
      <c r="S166">
        <f>IF(Tabla1[[#This Row],[dias_mora]]&gt;30,Tabla1[[#This Row],[saldo_cartera]],0)</f>
        <v>0</v>
      </c>
      <c r="T166">
        <f>Tabla1[[#This Row],[saldo_mora_30]]/Tabla1[[#This Row],[saldo_cartera]]</f>
        <v>0</v>
      </c>
      <c r="U166" t="str">
        <f>VLOOKUP(N166,asesores_ficticio!$A:$C,3,FALSE)</f>
        <v>Rionegro</v>
      </c>
      <c r="V166" t="str">
        <f t="shared" si="2"/>
        <v>NO</v>
      </c>
    </row>
    <row r="167" spans="1:22" x14ac:dyDescent="0.3">
      <c r="A167" t="s">
        <v>211</v>
      </c>
      <c r="B167" t="s">
        <v>26</v>
      </c>
      <c r="C167" t="s">
        <v>21</v>
      </c>
      <c r="D167" s="1">
        <v>61485</v>
      </c>
      <c r="E167" s="1">
        <v>-75429781</v>
      </c>
      <c r="F167" s="2">
        <v>45244</v>
      </c>
      <c r="G167" t="s">
        <v>384</v>
      </c>
      <c r="H167">
        <v>800000</v>
      </c>
      <c r="I167">
        <v>717439</v>
      </c>
      <c r="J167">
        <v>15</v>
      </c>
      <c r="K167" t="s">
        <v>22</v>
      </c>
      <c r="L167">
        <v>900000</v>
      </c>
      <c r="M167" t="s">
        <v>18</v>
      </c>
      <c r="N167" t="s">
        <v>19</v>
      </c>
      <c r="O167" s="3" t="s">
        <v>370</v>
      </c>
      <c r="P167" s="3">
        <v>33</v>
      </c>
      <c r="Q167" t="s">
        <v>375</v>
      </c>
      <c r="R167" t="s">
        <v>376</v>
      </c>
      <c r="S167">
        <f>IF(Tabla1[[#This Row],[dias_mora]]&gt;30,Tabla1[[#This Row],[saldo_cartera]],0)</f>
        <v>0</v>
      </c>
      <c r="T167">
        <f>Tabla1[[#This Row],[saldo_mora_30]]/Tabla1[[#This Row],[saldo_cartera]]</f>
        <v>0</v>
      </c>
      <c r="U167" t="str">
        <f>VLOOKUP(N167,asesores_ficticio!$A:$C,3,FALSE)</f>
        <v>Bello</v>
      </c>
      <c r="V167" t="str">
        <f t="shared" si="2"/>
        <v>NO</v>
      </c>
    </row>
    <row r="168" spans="1:22" x14ac:dyDescent="0.3">
      <c r="A168" t="s">
        <v>212</v>
      </c>
      <c r="B168" t="s">
        <v>46</v>
      </c>
      <c r="C168" t="s">
        <v>21</v>
      </c>
      <c r="D168" s="1">
        <v>6352331</v>
      </c>
      <c r="E168" s="1">
        <v>-75566569</v>
      </c>
      <c r="F168" s="2">
        <v>45122</v>
      </c>
      <c r="G168" t="s">
        <v>385</v>
      </c>
      <c r="H168">
        <v>4000000</v>
      </c>
      <c r="I168">
        <v>2791173</v>
      </c>
      <c r="J168">
        <v>0</v>
      </c>
      <c r="K168" t="s">
        <v>17</v>
      </c>
      <c r="L168">
        <v>3500000</v>
      </c>
      <c r="M168" t="s">
        <v>18</v>
      </c>
      <c r="N168" t="s">
        <v>61</v>
      </c>
      <c r="O168" s="3" t="s">
        <v>370</v>
      </c>
      <c r="P168" s="3">
        <v>45</v>
      </c>
      <c r="Q168" t="s">
        <v>377</v>
      </c>
      <c r="R168" t="s">
        <v>378</v>
      </c>
      <c r="S168">
        <f>IF(Tabla1[[#This Row],[dias_mora]]&gt;30,Tabla1[[#This Row],[saldo_cartera]],0)</f>
        <v>0</v>
      </c>
      <c r="T168">
        <f>Tabla1[[#This Row],[saldo_mora_30]]/Tabla1[[#This Row],[saldo_cartera]]</f>
        <v>0</v>
      </c>
      <c r="U168" t="str">
        <f>VLOOKUP(N168,asesores_ficticio!$A:$C,3,FALSE)</f>
        <v>Medellín</v>
      </c>
      <c r="V168" t="str">
        <f t="shared" si="2"/>
        <v>NO</v>
      </c>
    </row>
    <row r="169" spans="1:22" x14ac:dyDescent="0.3">
      <c r="A169" t="s">
        <v>213</v>
      </c>
      <c r="B169" t="s">
        <v>380</v>
      </c>
      <c r="C169" t="s">
        <v>21</v>
      </c>
      <c r="D169" s="1">
        <v>6172523</v>
      </c>
      <c r="E169" s="1">
        <v>-75645918</v>
      </c>
      <c r="F169" s="2">
        <v>45757</v>
      </c>
      <c r="G169" t="s">
        <v>385</v>
      </c>
      <c r="H169">
        <v>6000000</v>
      </c>
      <c r="I169">
        <v>5273625</v>
      </c>
      <c r="J169">
        <v>0</v>
      </c>
      <c r="K169" t="s">
        <v>17</v>
      </c>
      <c r="L169">
        <v>2800000</v>
      </c>
      <c r="M169" t="s">
        <v>18</v>
      </c>
      <c r="N169" t="s">
        <v>32</v>
      </c>
      <c r="O169" s="3" t="s">
        <v>371</v>
      </c>
      <c r="P169" s="3">
        <v>57</v>
      </c>
      <c r="Q169" t="s">
        <v>377</v>
      </c>
      <c r="R169" t="s">
        <v>373</v>
      </c>
      <c r="S169">
        <f>IF(Tabla1[[#This Row],[dias_mora]]&gt;30,Tabla1[[#This Row],[saldo_cartera]],0)</f>
        <v>0</v>
      </c>
      <c r="T169">
        <f>Tabla1[[#This Row],[saldo_mora_30]]/Tabla1[[#This Row],[saldo_cartera]]</f>
        <v>0</v>
      </c>
      <c r="U169" t="str">
        <f>VLOOKUP(N169,asesores_ficticio!$A:$C,3,FALSE)</f>
        <v>Cali</v>
      </c>
      <c r="V169" t="str">
        <f t="shared" si="2"/>
        <v>NO</v>
      </c>
    </row>
    <row r="170" spans="1:22" x14ac:dyDescent="0.3">
      <c r="A170" t="s">
        <v>214</v>
      </c>
      <c r="B170" t="s">
        <v>381</v>
      </c>
      <c r="C170" t="s">
        <v>16</v>
      </c>
      <c r="D170" s="1">
        <v>4675025</v>
      </c>
      <c r="E170" s="1">
        <v>-74063025</v>
      </c>
      <c r="F170" s="2">
        <v>46281</v>
      </c>
      <c r="G170" t="s">
        <v>384</v>
      </c>
      <c r="H170">
        <v>2500000</v>
      </c>
      <c r="I170">
        <v>2119392</v>
      </c>
      <c r="J170">
        <v>60</v>
      </c>
      <c r="K170" t="s">
        <v>27</v>
      </c>
      <c r="L170">
        <v>3500000</v>
      </c>
      <c r="M170" t="s">
        <v>31</v>
      </c>
      <c r="N170" t="s">
        <v>35</v>
      </c>
      <c r="O170" s="3" t="s">
        <v>370</v>
      </c>
      <c r="P170" s="3">
        <v>46</v>
      </c>
      <c r="Q170" t="s">
        <v>374</v>
      </c>
      <c r="R170" t="s">
        <v>378</v>
      </c>
      <c r="S170">
        <f>IF(Tabla1[[#This Row],[dias_mora]]&gt;30,Tabla1[[#This Row],[saldo_cartera]],0)</f>
        <v>2119392</v>
      </c>
      <c r="T170">
        <f>Tabla1[[#This Row],[saldo_mora_30]]/Tabla1[[#This Row],[saldo_cartera]]</f>
        <v>1</v>
      </c>
      <c r="U170" t="str">
        <f>VLOOKUP(N170,asesores_ficticio!$A:$C,3,FALSE)</f>
        <v>Bucaramanga</v>
      </c>
      <c r="V170" t="str">
        <f t="shared" si="2"/>
        <v>NO</v>
      </c>
    </row>
    <row r="171" spans="1:22" x14ac:dyDescent="0.3">
      <c r="A171" t="s">
        <v>215</v>
      </c>
      <c r="B171" t="s">
        <v>15</v>
      </c>
      <c r="C171" t="s">
        <v>16</v>
      </c>
      <c r="D171" s="1">
        <v>4610709</v>
      </c>
      <c r="E171" s="1">
        <v>-74231279</v>
      </c>
      <c r="F171" s="2">
        <v>45392</v>
      </c>
      <c r="G171" t="s">
        <v>385</v>
      </c>
      <c r="H171">
        <v>1200000</v>
      </c>
      <c r="I171">
        <v>503989</v>
      </c>
      <c r="J171">
        <v>15</v>
      </c>
      <c r="K171" t="s">
        <v>37</v>
      </c>
      <c r="L171">
        <v>2000000</v>
      </c>
      <c r="M171" t="s">
        <v>50</v>
      </c>
      <c r="N171" t="s">
        <v>35</v>
      </c>
      <c r="O171" s="3" t="s">
        <v>371</v>
      </c>
      <c r="P171" s="3">
        <v>26</v>
      </c>
      <c r="Q171" t="s">
        <v>375</v>
      </c>
      <c r="R171" t="s">
        <v>373</v>
      </c>
      <c r="S171">
        <f>IF(Tabla1[[#This Row],[dias_mora]]&gt;30,Tabla1[[#This Row],[saldo_cartera]],0)</f>
        <v>0</v>
      </c>
      <c r="T171">
        <f>Tabla1[[#This Row],[saldo_mora_30]]/Tabla1[[#This Row],[saldo_cartera]]</f>
        <v>0</v>
      </c>
      <c r="U171" t="str">
        <f>VLOOKUP(N171,asesores_ficticio!$A:$C,3,FALSE)</f>
        <v>Bucaramanga</v>
      </c>
      <c r="V171" t="str">
        <f t="shared" si="2"/>
        <v>NO</v>
      </c>
    </row>
    <row r="172" spans="1:22" x14ac:dyDescent="0.3">
      <c r="A172" t="s">
        <v>216</v>
      </c>
      <c r="B172" t="s">
        <v>70</v>
      </c>
      <c r="C172" t="s">
        <v>71</v>
      </c>
      <c r="D172" s="1">
        <v>3526446</v>
      </c>
      <c r="E172" s="1">
        <v>-76522834</v>
      </c>
      <c r="F172" s="2">
        <v>45166</v>
      </c>
      <c r="G172" t="s">
        <v>382</v>
      </c>
      <c r="H172">
        <v>800000</v>
      </c>
      <c r="I172">
        <v>344125</v>
      </c>
      <c r="J172">
        <v>0</v>
      </c>
      <c r="K172" t="s">
        <v>48</v>
      </c>
      <c r="L172">
        <v>1600000</v>
      </c>
      <c r="M172" t="s">
        <v>28</v>
      </c>
      <c r="N172" t="s">
        <v>29</v>
      </c>
      <c r="O172" s="3" t="s">
        <v>370</v>
      </c>
      <c r="P172" s="3">
        <v>31</v>
      </c>
      <c r="Q172" t="s">
        <v>372</v>
      </c>
      <c r="R172" t="s">
        <v>373</v>
      </c>
      <c r="S172">
        <f>IF(Tabla1[[#This Row],[dias_mora]]&gt;30,Tabla1[[#This Row],[saldo_cartera]],0)</f>
        <v>0</v>
      </c>
      <c r="T172">
        <f>Tabla1[[#This Row],[saldo_mora_30]]/Tabla1[[#This Row],[saldo_cartera]]</f>
        <v>0</v>
      </c>
      <c r="U172" t="str">
        <f>VLOOKUP(N172,asesores_ficticio!$A:$C,3,FALSE)</f>
        <v>Rionegro</v>
      </c>
      <c r="V172" t="str">
        <f t="shared" si="2"/>
        <v>NO</v>
      </c>
    </row>
    <row r="173" spans="1:22" x14ac:dyDescent="0.3">
      <c r="A173" t="s">
        <v>217</v>
      </c>
      <c r="B173" t="s">
        <v>379</v>
      </c>
      <c r="C173" t="s">
        <v>21</v>
      </c>
      <c r="D173" s="1">
        <v>6207154</v>
      </c>
      <c r="E173" s="1">
        <v>-75553412</v>
      </c>
      <c r="F173" s="2">
        <v>45511</v>
      </c>
      <c r="G173" t="s">
        <v>382</v>
      </c>
      <c r="H173">
        <v>2500000</v>
      </c>
      <c r="I173">
        <v>334039</v>
      </c>
      <c r="J173">
        <v>0</v>
      </c>
      <c r="K173" t="s">
        <v>27</v>
      </c>
      <c r="L173">
        <v>2800000</v>
      </c>
      <c r="M173" t="s">
        <v>50</v>
      </c>
      <c r="N173" t="s">
        <v>29</v>
      </c>
      <c r="O173" s="3" t="s">
        <v>370</v>
      </c>
      <c r="P173" s="3">
        <v>62</v>
      </c>
      <c r="Q173" t="s">
        <v>372</v>
      </c>
      <c r="R173" t="s">
        <v>373</v>
      </c>
      <c r="S173">
        <f>IF(Tabla1[[#This Row],[dias_mora]]&gt;30,Tabla1[[#This Row],[saldo_cartera]],0)</f>
        <v>0</v>
      </c>
      <c r="T173">
        <f>Tabla1[[#This Row],[saldo_mora_30]]/Tabla1[[#This Row],[saldo_cartera]]</f>
        <v>0</v>
      </c>
      <c r="U173" t="str">
        <f>VLOOKUP(N173,asesores_ficticio!$A:$C,3,FALSE)</f>
        <v>Rionegro</v>
      </c>
      <c r="V173" t="str">
        <f t="shared" si="2"/>
        <v>NO</v>
      </c>
    </row>
    <row r="174" spans="1:22" x14ac:dyDescent="0.3">
      <c r="A174" t="s">
        <v>218</v>
      </c>
      <c r="B174" t="s">
        <v>26</v>
      </c>
      <c r="C174" t="s">
        <v>21</v>
      </c>
      <c r="D174" s="1">
        <v>6228732</v>
      </c>
      <c r="E174" s="1">
        <v>-75435829</v>
      </c>
      <c r="F174" s="2">
        <v>45481</v>
      </c>
      <c r="G174" t="s">
        <v>382</v>
      </c>
      <c r="H174">
        <v>6000000</v>
      </c>
      <c r="I174">
        <v>3042496</v>
      </c>
      <c r="J174">
        <v>0</v>
      </c>
      <c r="K174" t="s">
        <v>27</v>
      </c>
      <c r="L174">
        <v>2800000</v>
      </c>
      <c r="M174" t="s">
        <v>31</v>
      </c>
      <c r="N174" t="s">
        <v>38</v>
      </c>
      <c r="O174" s="3" t="s">
        <v>370</v>
      </c>
      <c r="P174" s="3">
        <v>25</v>
      </c>
      <c r="Q174" t="s">
        <v>377</v>
      </c>
      <c r="R174" t="s">
        <v>373</v>
      </c>
      <c r="S174">
        <f>IF(Tabla1[[#This Row],[dias_mora]]&gt;30,Tabla1[[#This Row],[saldo_cartera]],0)</f>
        <v>0</v>
      </c>
      <c r="T174">
        <f>Tabla1[[#This Row],[saldo_mora_30]]/Tabla1[[#This Row],[saldo_cartera]]</f>
        <v>0</v>
      </c>
      <c r="U174" t="str">
        <f>VLOOKUP(N174,asesores_ficticio!$A:$C,3,FALSE)</f>
        <v>Barranquilla</v>
      </c>
      <c r="V174" t="str">
        <f t="shared" si="2"/>
        <v>NO</v>
      </c>
    </row>
    <row r="175" spans="1:22" x14ac:dyDescent="0.3">
      <c r="A175" t="s">
        <v>219</v>
      </c>
      <c r="B175" t="s">
        <v>40</v>
      </c>
      <c r="C175" t="s">
        <v>41</v>
      </c>
      <c r="D175" s="1">
        <v>7143095</v>
      </c>
      <c r="E175" s="1">
        <v>-73153352</v>
      </c>
      <c r="F175" s="2">
        <v>46180</v>
      </c>
      <c r="G175" t="s">
        <v>382</v>
      </c>
      <c r="H175">
        <v>1200000</v>
      </c>
      <c r="I175">
        <v>643073</v>
      </c>
      <c r="J175">
        <v>0</v>
      </c>
      <c r="K175" t="s">
        <v>27</v>
      </c>
      <c r="L175">
        <v>900000</v>
      </c>
      <c r="M175" t="s">
        <v>31</v>
      </c>
      <c r="N175" t="s">
        <v>61</v>
      </c>
      <c r="O175" s="3" t="s">
        <v>371</v>
      </c>
      <c r="P175" s="3">
        <v>41</v>
      </c>
      <c r="Q175" t="s">
        <v>377</v>
      </c>
      <c r="R175" t="s">
        <v>376</v>
      </c>
      <c r="S175">
        <f>IF(Tabla1[[#This Row],[dias_mora]]&gt;30,Tabla1[[#This Row],[saldo_cartera]],0)</f>
        <v>0</v>
      </c>
      <c r="T175">
        <f>Tabla1[[#This Row],[saldo_mora_30]]/Tabla1[[#This Row],[saldo_cartera]]</f>
        <v>0</v>
      </c>
      <c r="U175" t="str">
        <f>VLOOKUP(N175,asesores_ficticio!$A:$C,3,FALSE)</f>
        <v>Medellín</v>
      </c>
      <c r="V175" t="str">
        <f t="shared" si="2"/>
        <v>NO</v>
      </c>
    </row>
    <row r="176" spans="1:22" x14ac:dyDescent="0.3">
      <c r="A176" t="s">
        <v>220</v>
      </c>
      <c r="B176" t="s">
        <v>76</v>
      </c>
      <c r="C176" t="s">
        <v>77</v>
      </c>
      <c r="D176" s="1">
        <v>4872554</v>
      </c>
      <c r="E176" s="1">
        <v>-75656</v>
      </c>
      <c r="F176" s="2">
        <v>46147</v>
      </c>
      <c r="G176" t="s">
        <v>385</v>
      </c>
      <c r="H176">
        <v>500000</v>
      </c>
      <c r="I176">
        <v>160829</v>
      </c>
      <c r="J176">
        <v>60</v>
      </c>
      <c r="K176" t="s">
        <v>27</v>
      </c>
      <c r="L176">
        <v>2800000</v>
      </c>
      <c r="M176" t="s">
        <v>18</v>
      </c>
      <c r="N176" t="s">
        <v>32</v>
      </c>
      <c r="O176" s="3" t="s">
        <v>370</v>
      </c>
      <c r="P176" s="3">
        <v>60</v>
      </c>
      <c r="Q176" t="s">
        <v>374</v>
      </c>
      <c r="R176" t="s">
        <v>373</v>
      </c>
      <c r="S176">
        <f>IF(Tabla1[[#This Row],[dias_mora]]&gt;30,Tabla1[[#This Row],[saldo_cartera]],0)</f>
        <v>160829</v>
      </c>
      <c r="T176">
        <f>Tabla1[[#This Row],[saldo_mora_30]]/Tabla1[[#This Row],[saldo_cartera]]</f>
        <v>1</v>
      </c>
      <c r="U176" t="str">
        <f>VLOOKUP(N176,asesores_ficticio!$A:$C,3,FALSE)</f>
        <v>Cali</v>
      </c>
      <c r="V176" t="str">
        <f t="shared" si="2"/>
        <v>NO</v>
      </c>
    </row>
    <row r="177" spans="1:22" x14ac:dyDescent="0.3">
      <c r="A177" t="s">
        <v>221</v>
      </c>
      <c r="B177" t="s">
        <v>76</v>
      </c>
      <c r="C177" t="s">
        <v>77</v>
      </c>
      <c r="D177" s="1">
        <v>4867638</v>
      </c>
      <c r="E177" s="1">
        <v>-75694712</v>
      </c>
      <c r="F177" s="2">
        <v>46240</v>
      </c>
      <c r="G177" t="s">
        <v>382</v>
      </c>
      <c r="H177">
        <v>4000000</v>
      </c>
      <c r="I177">
        <v>3607779</v>
      </c>
      <c r="J177">
        <v>0</v>
      </c>
      <c r="K177" t="s">
        <v>22</v>
      </c>
      <c r="L177">
        <v>2000000</v>
      </c>
      <c r="M177" t="s">
        <v>18</v>
      </c>
      <c r="N177" t="s">
        <v>35</v>
      </c>
      <c r="O177" s="3" t="s">
        <v>371</v>
      </c>
      <c r="P177" s="3">
        <v>55</v>
      </c>
      <c r="Q177" t="s">
        <v>377</v>
      </c>
      <c r="R177" t="s">
        <v>373</v>
      </c>
      <c r="S177">
        <f>IF(Tabla1[[#This Row],[dias_mora]]&gt;30,Tabla1[[#This Row],[saldo_cartera]],0)</f>
        <v>0</v>
      </c>
      <c r="T177">
        <f>Tabla1[[#This Row],[saldo_mora_30]]/Tabla1[[#This Row],[saldo_cartera]]</f>
        <v>0</v>
      </c>
      <c r="U177" t="str">
        <f>VLOOKUP(N177,asesores_ficticio!$A:$C,3,FALSE)</f>
        <v>Bucaramanga</v>
      </c>
      <c r="V177" t="str">
        <f t="shared" si="2"/>
        <v>NO</v>
      </c>
    </row>
    <row r="178" spans="1:22" x14ac:dyDescent="0.3">
      <c r="A178" t="s">
        <v>222</v>
      </c>
      <c r="B178" t="s">
        <v>34</v>
      </c>
      <c r="C178" t="s">
        <v>386</v>
      </c>
      <c r="D178" s="1">
        <v>10913348</v>
      </c>
      <c r="E178" s="1">
        <v>-74734102</v>
      </c>
      <c r="F178" s="2">
        <v>44940</v>
      </c>
      <c r="G178" t="s">
        <v>385</v>
      </c>
      <c r="H178">
        <v>4000000</v>
      </c>
      <c r="I178">
        <v>3654605</v>
      </c>
      <c r="J178">
        <v>0</v>
      </c>
      <c r="K178" t="s">
        <v>22</v>
      </c>
      <c r="L178">
        <v>900000</v>
      </c>
      <c r="M178" t="s">
        <v>50</v>
      </c>
      <c r="N178" t="s">
        <v>42</v>
      </c>
      <c r="O178" s="3" t="s">
        <v>371</v>
      </c>
      <c r="P178" s="3">
        <v>36</v>
      </c>
      <c r="Q178" t="s">
        <v>377</v>
      </c>
      <c r="R178" t="s">
        <v>376</v>
      </c>
      <c r="S178">
        <f>IF(Tabla1[[#This Row],[dias_mora]]&gt;30,Tabla1[[#This Row],[saldo_cartera]],0)</f>
        <v>0</v>
      </c>
      <c r="T178">
        <f>Tabla1[[#This Row],[saldo_mora_30]]/Tabla1[[#This Row],[saldo_cartera]]</f>
        <v>0</v>
      </c>
      <c r="U178" t="str">
        <f>VLOOKUP(N178,asesores_ficticio!$A:$C,3,FALSE)</f>
        <v>Itagüí</v>
      </c>
      <c r="V178" t="str">
        <f t="shared" si="2"/>
        <v>NO</v>
      </c>
    </row>
    <row r="179" spans="1:22" x14ac:dyDescent="0.3">
      <c r="A179" t="s">
        <v>223</v>
      </c>
      <c r="B179" t="s">
        <v>379</v>
      </c>
      <c r="C179" t="s">
        <v>21</v>
      </c>
      <c r="D179" s="1">
        <v>6199195</v>
      </c>
      <c r="E179" s="1">
        <v>-75588238</v>
      </c>
      <c r="F179" s="2">
        <v>46342</v>
      </c>
      <c r="G179" t="s">
        <v>384</v>
      </c>
      <c r="H179">
        <v>500000</v>
      </c>
      <c r="I179">
        <v>312580</v>
      </c>
      <c r="J179">
        <v>5</v>
      </c>
      <c r="K179" t="s">
        <v>48</v>
      </c>
      <c r="L179">
        <v>2800000</v>
      </c>
      <c r="M179" t="s">
        <v>28</v>
      </c>
      <c r="N179" t="s">
        <v>35</v>
      </c>
      <c r="O179" s="3" t="s">
        <v>370</v>
      </c>
      <c r="P179" s="3">
        <v>37</v>
      </c>
      <c r="Q179" t="s">
        <v>375</v>
      </c>
      <c r="R179" t="s">
        <v>373</v>
      </c>
      <c r="S179">
        <f>IF(Tabla1[[#This Row],[dias_mora]]&gt;30,Tabla1[[#This Row],[saldo_cartera]],0)</f>
        <v>0</v>
      </c>
      <c r="T179">
        <f>Tabla1[[#This Row],[saldo_mora_30]]/Tabla1[[#This Row],[saldo_cartera]]</f>
        <v>0</v>
      </c>
      <c r="U179" t="str">
        <f>VLOOKUP(N179,asesores_ficticio!$A:$C,3,FALSE)</f>
        <v>Bucaramanga</v>
      </c>
      <c r="V179" t="str">
        <f t="shared" si="2"/>
        <v>NO</v>
      </c>
    </row>
    <row r="180" spans="1:22" x14ac:dyDescent="0.3">
      <c r="A180" t="s">
        <v>224</v>
      </c>
      <c r="B180" t="s">
        <v>70</v>
      </c>
      <c r="C180" t="s">
        <v>71</v>
      </c>
      <c r="D180" s="1">
        <v>3373496</v>
      </c>
      <c r="E180" s="1">
        <v>-76527293</v>
      </c>
      <c r="F180" s="2">
        <v>46085</v>
      </c>
      <c r="G180" t="s">
        <v>384</v>
      </c>
      <c r="H180">
        <v>1200000</v>
      </c>
      <c r="I180">
        <v>666453</v>
      </c>
      <c r="J180">
        <v>0</v>
      </c>
      <c r="K180" t="s">
        <v>17</v>
      </c>
      <c r="L180">
        <v>2800000</v>
      </c>
      <c r="M180" t="s">
        <v>18</v>
      </c>
      <c r="N180" t="s">
        <v>29</v>
      </c>
      <c r="O180" s="3" t="s">
        <v>371</v>
      </c>
      <c r="P180" s="3">
        <v>32</v>
      </c>
      <c r="Q180" t="s">
        <v>377</v>
      </c>
      <c r="R180" t="s">
        <v>373</v>
      </c>
      <c r="S180">
        <f>IF(Tabla1[[#This Row],[dias_mora]]&gt;30,Tabla1[[#This Row],[saldo_cartera]],0)</f>
        <v>0</v>
      </c>
      <c r="T180">
        <f>Tabla1[[#This Row],[saldo_mora_30]]/Tabla1[[#This Row],[saldo_cartera]]</f>
        <v>0</v>
      </c>
      <c r="U180" t="str">
        <f>VLOOKUP(N180,asesores_ficticio!$A:$C,3,FALSE)</f>
        <v>Rionegro</v>
      </c>
      <c r="V180" t="str">
        <f t="shared" si="2"/>
        <v>NO</v>
      </c>
    </row>
    <row r="181" spans="1:22" x14ac:dyDescent="0.3">
      <c r="A181" t="s">
        <v>225</v>
      </c>
      <c r="B181" t="s">
        <v>26</v>
      </c>
      <c r="C181" t="s">
        <v>21</v>
      </c>
      <c r="D181" s="1">
        <v>6173965</v>
      </c>
      <c r="E181" s="1">
        <v>-75414213</v>
      </c>
      <c r="F181" s="2">
        <v>46253</v>
      </c>
      <c r="G181" t="s">
        <v>385</v>
      </c>
      <c r="H181">
        <v>1200000</v>
      </c>
      <c r="I181">
        <v>392671</v>
      </c>
      <c r="J181">
        <v>0</v>
      </c>
      <c r="K181" t="s">
        <v>22</v>
      </c>
      <c r="L181">
        <v>1600000</v>
      </c>
      <c r="M181" t="s">
        <v>23</v>
      </c>
      <c r="N181" t="s">
        <v>19</v>
      </c>
      <c r="O181" s="3" t="s">
        <v>370</v>
      </c>
      <c r="P181" s="3">
        <v>42</v>
      </c>
      <c r="Q181" t="s">
        <v>372</v>
      </c>
      <c r="R181" t="s">
        <v>373</v>
      </c>
      <c r="S181">
        <f>IF(Tabla1[[#This Row],[dias_mora]]&gt;30,Tabla1[[#This Row],[saldo_cartera]],0)</f>
        <v>0</v>
      </c>
      <c r="T181">
        <f>Tabla1[[#This Row],[saldo_mora_30]]/Tabla1[[#This Row],[saldo_cartera]]</f>
        <v>0</v>
      </c>
      <c r="U181" t="str">
        <f>VLOOKUP(N181,asesores_ficticio!$A:$C,3,FALSE)</f>
        <v>Bello</v>
      </c>
      <c r="V181" t="str">
        <f t="shared" si="2"/>
        <v>NO</v>
      </c>
    </row>
    <row r="182" spans="1:22" x14ac:dyDescent="0.3">
      <c r="A182" t="s">
        <v>226</v>
      </c>
      <c r="B182" t="s">
        <v>379</v>
      </c>
      <c r="C182" t="s">
        <v>21</v>
      </c>
      <c r="D182" s="1">
        <v>617916</v>
      </c>
      <c r="E182" s="1">
        <v>-75600518</v>
      </c>
      <c r="F182" s="2">
        <v>45338</v>
      </c>
      <c r="G182" t="s">
        <v>383</v>
      </c>
      <c r="H182">
        <v>2500000</v>
      </c>
      <c r="I182">
        <v>1261511</v>
      </c>
      <c r="J182">
        <v>5</v>
      </c>
      <c r="K182" t="s">
        <v>27</v>
      </c>
      <c r="L182">
        <v>3500000</v>
      </c>
      <c r="M182" t="s">
        <v>28</v>
      </c>
      <c r="N182" t="s">
        <v>19</v>
      </c>
      <c r="O182" s="3" t="s">
        <v>371</v>
      </c>
      <c r="P182" s="3">
        <v>64</v>
      </c>
      <c r="Q182" t="s">
        <v>375</v>
      </c>
      <c r="R182" t="s">
        <v>378</v>
      </c>
      <c r="S182">
        <f>IF(Tabla1[[#This Row],[dias_mora]]&gt;30,Tabla1[[#This Row],[saldo_cartera]],0)</f>
        <v>0</v>
      </c>
      <c r="T182">
        <f>Tabla1[[#This Row],[saldo_mora_30]]/Tabla1[[#This Row],[saldo_cartera]]</f>
        <v>0</v>
      </c>
      <c r="U182" t="str">
        <f>VLOOKUP(N182,asesores_ficticio!$A:$C,3,FALSE)</f>
        <v>Bello</v>
      </c>
      <c r="V182" t="str">
        <f t="shared" si="2"/>
        <v>NO</v>
      </c>
    </row>
    <row r="183" spans="1:22" x14ac:dyDescent="0.3">
      <c r="A183" t="s">
        <v>227</v>
      </c>
      <c r="B183" t="s">
        <v>40</v>
      </c>
      <c r="C183" t="s">
        <v>41</v>
      </c>
      <c r="D183" s="1">
        <v>7186364</v>
      </c>
      <c r="E183" s="1">
        <v>-73165937</v>
      </c>
      <c r="F183" s="2">
        <v>44979</v>
      </c>
      <c r="G183" t="s">
        <v>382</v>
      </c>
      <c r="H183">
        <v>6000000</v>
      </c>
      <c r="I183">
        <v>4130667</v>
      </c>
      <c r="J183">
        <v>0</v>
      </c>
      <c r="K183" t="s">
        <v>17</v>
      </c>
      <c r="L183">
        <v>1600000</v>
      </c>
      <c r="M183" t="s">
        <v>28</v>
      </c>
      <c r="N183" t="s">
        <v>61</v>
      </c>
      <c r="O183" s="3" t="s">
        <v>370</v>
      </c>
      <c r="P183" s="3">
        <v>38</v>
      </c>
      <c r="Q183" t="s">
        <v>377</v>
      </c>
      <c r="R183" t="s">
        <v>373</v>
      </c>
      <c r="S183">
        <f>IF(Tabla1[[#This Row],[dias_mora]]&gt;30,Tabla1[[#This Row],[saldo_cartera]],0)</f>
        <v>0</v>
      </c>
      <c r="T183">
        <f>Tabla1[[#This Row],[saldo_mora_30]]/Tabla1[[#This Row],[saldo_cartera]]</f>
        <v>0</v>
      </c>
      <c r="U183" t="str">
        <f>VLOOKUP(N183,asesores_ficticio!$A:$C,3,FALSE)</f>
        <v>Medellín</v>
      </c>
      <c r="V183" t="str">
        <f t="shared" si="2"/>
        <v>NO</v>
      </c>
    </row>
    <row r="184" spans="1:22" x14ac:dyDescent="0.3">
      <c r="A184" t="s">
        <v>228</v>
      </c>
      <c r="B184" t="s">
        <v>380</v>
      </c>
      <c r="C184" t="s">
        <v>21</v>
      </c>
      <c r="D184" s="1">
        <v>6240503</v>
      </c>
      <c r="E184" s="1">
        <v>-75641882</v>
      </c>
      <c r="F184" s="2">
        <v>46063</v>
      </c>
      <c r="G184" t="s">
        <v>385</v>
      </c>
      <c r="H184">
        <v>800000</v>
      </c>
      <c r="I184">
        <v>479185</v>
      </c>
      <c r="J184">
        <v>15</v>
      </c>
      <c r="K184" t="s">
        <v>17</v>
      </c>
      <c r="L184">
        <v>3500000</v>
      </c>
      <c r="M184" t="s">
        <v>18</v>
      </c>
      <c r="N184" t="s">
        <v>57</v>
      </c>
      <c r="O184" s="3" t="s">
        <v>370</v>
      </c>
      <c r="P184" s="3">
        <v>30</v>
      </c>
      <c r="Q184" t="s">
        <v>375</v>
      </c>
      <c r="R184" t="s">
        <v>378</v>
      </c>
      <c r="S184">
        <f>IF(Tabla1[[#This Row],[dias_mora]]&gt;30,Tabla1[[#This Row],[saldo_cartera]],0)</f>
        <v>0</v>
      </c>
      <c r="T184">
        <f>Tabla1[[#This Row],[saldo_mora_30]]/Tabla1[[#This Row],[saldo_cartera]]</f>
        <v>0</v>
      </c>
      <c r="U184" t="str">
        <f>VLOOKUP(N184,asesores_ficticio!$A:$C,3,FALSE)</f>
        <v>Pereira</v>
      </c>
      <c r="V184" t="str">
        <f t="shared" si="2"/>
        <v>NO</v>
      </c>
    </row>
    <row r="185" spans="1:22" x14ac:dyDescent="0.3">
      <c r="A185" t="s">
        <v>229</v>
      </c>
      <c r="B185" t="s">
        <v>70</v>
      </c>
      <c r="C185" t="s">
        <v>71</v>
      </c>
      <c r="D185" s="1">
        <v>3479926</v>
      </c>
      <c r="E185" s="1">
        <v>-7652551</v>
      </c>
      <c r="F185" s="2">
        <v>45193</v>
      </c>
      <c r="G185" t="s">
        <v>382</v>
      </c>
      <c r="H185">
        <v>1800000</v>
      </c>
      <c r="I185">
        <v>1336082</v>
      </c>
      <c r="J185">
        <v>0</v>
      </c>
      <c r="K185" t="s">
        <v>48</v>
      </c>
      <c r="L185">
        <v>3500000</v>
      </c>
      <c r="M185" t="s">
        <v>50</v>
      </c>
      <c r="N185" t="s">
        <v>32</v>
      </c>
      <c r="O185" s="3" t="s">
        <v>371</v>
      </c>
      <c r="P185" s="3">
        <v>59</v>
      </c>
      <c r="Q185" t="s">
        <v>377</v>
      </c>
      <c r="R185" t="s">
        <v>378</v>
      </c>
      <c r="S185">
        <f>IF(Tabla1[[#This Row],[dias_mora]]&gt;30,Tabla1[[#This Row],[saldo_cartera]],0)</f>
        <v>0</v>
      </c>
      <c r="T185">
        <f>Tabla1[[#This Row],[saldo_mora_30]]/Tabla1[[#This Row],[saldo_cartera]]</f>
        <v>0</v>
      </c>
      <c r="U185" t="str">
        <f>VLOOKUP(N185,asesores_ficticio!$A:$C,3,FALSE)</f>
        <v>Cali</v>
      </c>
      <c r="V185" t="str">
        <f t="shared" si="2"/>
        <v>SI</v>
      </c>
    </row>
    <row r="186" spans="1:22" x14ac:dyDescent="0.3">
      <c r="A186" t="s">
        <v>230</v>
      </c>
      <c r="B186" t="s">
        <v>26</v>
      </c>
      <c r="C186" t="s">
        <v>21</v>
      </c>
      <c r="D186" s="1">
        <v>6208988</v>
      </c>
      <c r="E186" s="1">
        <v>-75400105</v>
      </c>
      <c r="F186" s="2">
        <v>45239</v>
      </c>
      <c r="G186" t="s">
        <v>383</v>
      </c>
      <c r="H186">
        <v>6000000</v>
      </c>
      <c r="I186">
        <v>3730713</v>
      </c>
      <c r="J186">
        <v>0</v>
      </c>
      <c r="K186" t="s">
        <v>37</v>
      </c>
      <c r="L186">
        <v>1600000</v>
      </c>
      <c r="M186" t="s">
        <v>18</v>
      </c>
      <c r="N186" t="s">
        <v>24</v>
      </c>
      <c r="O186" s="3" t="s">
        <v>371</v>
      </c>
      <c r="P186" s="3">
        <v>26</v>
      </c>
      <c r="Q186" t="s">
        <v>377</v>
      </c>
      <c r="R186" t="s">
        <v>373</v>
      </c>
      <c r="S186">
        <f>IF(Tabla1[[#This Row],[dias_mora]]&gt;30,Tabla1[[#This Row],[saldo_cartera]],0)</f>
        <v>0</v>
      </c>
      <c r="T186">
        <f>Tabla1[[#This Row],[saldo_mora_30]]/Tabla1[[#This Row],[saldo_cartera]]</f>
        <v>0</v>
      </c>
      <c r="U186" t="str">
        <f>VLOOKUP(N186,asesores_ficticio!$A:$C,3,FALSE)</f>
        <v>Soacha</v>
      </c>
      <c r="V186" t="str">
        <f t="shared" si="2"/>
        <v>NO</v>
      </c>
    </row>
    <row r="187" spans="1:22" x14ac:dyDescent="0.3">
      <c r="A187" t="s">
        <v>231</v>
      </c>
      <c r="B187" t="s">
        <v>40</v>
      </c>
      <c r="C187" t="s">
        <v>41</v>
      </c>
      <c r="D187" s="1">
        <v>7189883</v>
      </c>
      <c r="E187" s="1">
        <v>-73133604</v>
      </c>
      <c r="F187" s="2">
        <v>45770</v>
      </c>
      <c r="G187" t="s">
        <v>384</v>
      </c>
      <c r="H187">
        <v>4000000</v>
      </c>
      <c r="I187">
        <v>2391975</v>
      </c>
      <c r="J187">
        <v>0</v>
      </c>
      <c r="K187" t="s">
        <v>48</v>
      </c>
      <c r="L187">
        <v>2800000</v>
      </c>
      <c r="M187" t="s">
        <v>23</v>
      </c>
      <c r="N187" t="s">
        <v>42</v>
      </c>
      <c r="O187" s="3" t="s">
        <v>370</v>
      </c>
      <c r="P187" s="3">
        <v>44</v>
      </c>
      <c r="Q187" t="s">
        <v>377</v>
      </c>
      <c r="R187" t="s">
        <v>373</v>
      </c>
      <c r="S187">
        <f>IF(Tabla1[[#This Row],[dias_mora]]&gt;30,Tabla1[[#This Row],[saldo_cartera]],0)</f>
        <v>0</v>
      </c>
      <c r="T187">
        <f>Tabla1[[#This Row],[saldo_mora_30]]/Tabla1[[#This Row],[saldo_cartera]]</f>
        <v>0</v>
      </c>
      <c r="U187" t="str">
        <f>VLOOKUP(N187,asesores_ficticio!$A:$C,3,FALSE)</f>
        <v>Itagüí</v>
      </c>
      <c r="V187" t="str">
        <f t="shared" si="2"/>
        <v>NO</v>
      </c>
    </row>
    <row r="188" spans="1:22" x14ac:dyDescent="0.3">
      <c r="A188" t="s">
        <v>232</v>
      </c>
      <c r="B188" t="s">
        <v>70</v>
      </c>
      <c r="C188" t="s">
        <v>71</v>
      </c>
      <c r="D188" s="1">
        <v>3485468</v>
      </c>
      <c r="E188" s="1">
        <v>-76510576</v>
      </c>
      <c r="F188" s="2">
        <v>45061</v>
      </c>
      <c r="G188" t="s">
        <v>382</v>
      </c>
      <c r="H188">
        <v>4000000</v>
      </c>
      <c r="I188">
        <v>1724715</v>
      </c>
      <c r="J188">
        <v>0</v>
      </c>
      <c r="K188" t="s">
        <v>27</v>
      </c>
      <c r="L188">
        <v>900000</v>
      </c>
      <c r="M188" t="s">
        <v>50</v>
      </c>
      <c r="N188" t="s">
        <v>42</v>
      </c>
      <c r="O188" s="3" t="s">
        <v>370</v>
      </c>
      <c r="P188" s="3">
        <v>39</v>
      </c>
      <c r="Q188" t="s">
        <v>372</v>
      </c>
      <c r="R188" t="s">
        <v>376</v>
      </c>
      <c r="S188">
        <f>IF(Tabla1[[#This Row],[dias_mora]]&gt;30,Tabla1[[#This Row],[saldo_cartera]],0)</f>
        <v>0</v>
      </c>
      <c r="T188">
        <f>Tabla1[[#This Row],[saldo_mora_30]]/Tabla1[[#This Row],[saldo_cartera]]</f>
        <v>0</v>
      </c>
      <c r="U188" t="str">
        <f>VLOOKUP(N188,asesores_ficticio!$A:$C,3,FALSE)</f>
        <v>Itagüí</v>
      </c>
      <c r="V188" t="str">
        <f t="shared" si="2"/>
        <v>NO</v>
      </c>
    </row>
    <row r="189" spans="1:22" x14ac:dyDescent="0.3">
      <c r="A189" t="s">
        <v>233</v>
      </c>
      <c r="B189" t="s">
        <v>46</v>
      </c>
      <c r="C189" t="s">
        <v>21</v>
      </c>
      <c r="D189" s="1">
        <v>6287283</v>
      </c>
      <c r="E189" s="1">
        <v>-75566185</v>
      </c>
      <c r="F189" s="2">
        <v>45903</v>
      </c>
      <c r="G189" t="s">
        <v>382</v>
      </c>
      <c r="H189">
        <v>2500000</v>
      </c>
      <c r="I189">
        <v>1338937</v>
      </c>
      <c r="J189">
        <v>0</v>
      </c>
      <c r="K189" t="s">
        <v>37</v>
      </c>
      <c r="L189">
        <v>900000</v>
      </c>
      <c r="M189" t="s">
        <v>50</v>
      </c>
      <c r="N189" t="s">
        <v>63</v>
      </c>
      <c r="O189" s="3" t="s">
        <v>371</v>
      </c>
      <c r="P189" s="3">
        <v>34</v>
      </c>
      <c r="Q189" t="s">
        <v>377</v>
      </c>
      <c r="R189" t="s">
        <v>376</v>
      </c>
      <c r="S189">
        <f>IF(Tabla1[[#This Row],[dias_mora]]&gt;30,Tabla1[[#This Row],[saldo_cartera]],0)</f>
        <v>0</v>
      </c>
      <c r="T189">
        <f>Tabla1[[#This Row],[saldo_mora_30]]/Tabla1[[#This Row],[saldo_cartera]]</f>
        <v>0</v>
      </c>
      <c r="U189" t="str">
        <f>VLOOKUP(N189,asesores_ficticio!$A:$C,3,FALSE)</f>
        <v>Bogotá</v>
      </c>
      <c r="V189" t="str">
        <f t="shared" si="2"/>
        <v>NO</v>
      </c>
    </row>
    <row r="190" spans="1:22" x14ac:dyDescent="0.3">
      <c r="A190" t="s">
        <v>234</v>
      </c>
      <c r="B190" t="s">
        <v>70</v>
      </c>
      <c r="C190" t="s">
        <v>71</v>
      </c>
      <c r="D190" s="1">
        <v>3433648</v>
      </c>
      <c r="E190" s="1">
        <v>-76598448</v>
      </c>
      <c r="F190" s="2">
        <v>45609</v>
      </c>
      <c r="G190" t="s">
        <v>385</v>
      </c>
      <c r="H190">
        <v>2500000</v>
      </c>
      <c r="I190">
        <v>2173566</v>
      </c>
      <c r="J190">
        <v>90</v>
      </c>
      <c r="K190" t="s">
        <v>22</v>
      </c>
      <c r="L190">
        <v>2800000</v>
      </c>
      <c r="M190" t="s">
        <v>23</v>
      </c>
      <c r="N190" t="s">
        <v>63</v>
      </c>
      <c r="O190" s="3" t="s">
        <v>371</v>
      </c>
      <c r="P190" s="3">
        <v>35</v>
      </c>
      <c r="Q190" t="s">
        <v>374</v>
      </c>
      <c r="R190" t="s">
        <v>373</v>
      </c>
      <c r="S190">
        <f>IF(Tabla1[[#This Row],[dias_mora]]&gt;30,Tabla1[[#This Row],[saldo_cartera]],0)</f>
        <v>2173566</v>
      </c>
      <c r="T190">
        <f>Tabla1[[#This Row],[saldo_mora_30]]/Tabla1[[#This Row],[saldo_cartera]]</f>
        <v>1</v>
      </c>
      <c r="U190" t="str">
        <f>VLOOKUP(N190,asesores_ficticio!$A:$C,3,FALSE)</f>
        <v>Bogotá</v>
      </c>
      <c r="V190" t="str">
        <f t="shared" si="2"/>
        <v>NO</v>
      </c>
    </row>
    <row r="191" spans="1:22" x14ac:dyDescent="0.3">
      <c r="A191" t="s">
        <v>235</v>
      </c>
      <c r="B191" t="s">
        <v>381</v>
      </c>
      <c r="C191" t="s">
        <v>16</v>
      </c>
      <c r="D191" s="1">
        <v>47099</v>
      </c>
      <c r="E191" s="1">
        <v>-74141977</v>
      </c>
      <c r="F191" s="2">
        <v>45785</v>
      </c>
      <c r="G191" t="s">
        <v>383</v>
      </c>
      <c r="H191">
        <v>1800000</v>
      </c>
      <c r="I191">
        <v>602222</v>
      </c>
      <c r="J191">
        <v>0</v>
      </c>
      <c r="K191" t="s">
        <v>17</v>
      </c>
      <c r="L191">
        <v>900000</v>
      </c>
      <c r="M191" t="s">
        <v>28</v>
      </c>
      <c r="N191" t="s">
        <v>29</v>
      </c>
      <c r="O191" s="3" t="s">
        <v>370</v>
      </c>
      <c r="P191" s="3">
        <v>34</v>
      </c>
      <c r="Q191" t="s">
        <v>372</v>
      </c>
      <c r="R191" t="s">
        <v>376</v>
      </c>
      <c r="S191">
        <f>IF(Tabla1[[#This Row],[dias_mora]]&gt;30,Tabla1[[#This Row],[saldo_cartera]],0)</f>
        <v>0</v>
      </c>
      <c r="T191">
        <f>Tabla1[[#This Row],[saldo_mora_30]]/Tabla1[[#This Row],[saldo_cartera]]</f>
        <v>0</v>
      </c>
      <c r="U191" t="str">
        <f>VLOOKUP(N191,asesores_ficticio!$A:$C,3,FALSE)</f>
        <v>Rionegro</v>
      </c>
      <c r="V191" t="str">
        <f t="shared" si="2"/>
        <v>NO</v>
      </c>
    </row>
    <row r="192" spans="1:22" x14ac:dyDescent="0.3">
      <c r="A192" t="s">
        <v>236</v>
      </c>
      <c r="B192" t="s">
        <v>34</v>
      </c>
      <c r="C192" t="s">
        <v>386</v>
      </c>
      <c r="D192" s="1">
        <v>10901016</v>
      </c>
      <c r="E192" s="1">
        <v>-74827655</v>
      </c>
      <c r="F192" s="2">
        <v>46187</v>
      </c>
      <c r="G192" t="s">
        <v>385</v>
      </c>
      <c r="H192">
        <v>1800000</v>
      </c>
      <c r="I192">
        <v>688292</v>
      </c>
      <c r="J192">
        <v>5</v>
      </c>
      <c r="K192" t="s">
        <v>27</v>
      </c>
      <c r="L192">
        <v>1600000</v>
      </c>
      <c r="M192" t="s">
        <v>23</v>
      </c>
      <c r="N192" t="s">
        <v>57</v>
      </c>
      <c r="O192" s="3" t="s">
        <v>371</v>
      </c>
      <c r="P192" s="3">
        <v>44</v>
      </c>
      <c r="Q192" t="s">
        <v>375</v>
      </c>
      <c r="R192" t="s">
        <v>373</v>
      </c>
      <c r="S192">
        <f>IF(Tabla1[[#This Row],[dias_mora]]&gt;30,Tabla1[[#This Row],[saldo_cartera]],0)</f>
        <v>0</v>
      </c>
      <c r="T192">
        <f>Tabla1[[#This Row],[saldo_mora_30]]/Tabla1[[#This Row],[saldo_cartera]]</f>
        <v>0</v>
      </c>
      <c r="U192" t="str">
        <f>VLOOKUP(N192,asesores_ficticio!$A:$C,3,FALSE)</f>
        <v>Pereira</v>
      </c>
      <c r="V192" t="str">
        <f t="shared" si="2"/>
        <v>NO</v>
      </c>
    </row>
    <row r="193" spans="1:22" x14ac:dyDescent="0.3">
      <c r="A193" t="s">
        <v>237</v>
      </c>
      <c r="B193" t="s">
        <v>26</v>
      </c>
      <c r="C193" t="s">
        <v>21</v>
      </c>
      <c r="D193" s="1">
        <v>6151442</v>
      </c>
      <c r="E193" s="1">
        <v>-75426178</v>
      </c>
      <c r="F193" s="2">
        <v>46321</v>
      </c>
      <c r="G193" t="s">
        <v>385</v>
      </c>
      <c r="H193">
        <v>1800000</v>
      </c>
      <c r="I193">
        <v>1662150</v>
      </c>
      <c r="J193">
        <v>0</v>
      </c>
      <c r="K193" t="s">
        <v>27</v>
      </c>
      <c r="L193">
        <v>3500000</v>
      </c>
      <c r="M193" t="s">
        <v>31</v>
      </c>
      <c r="N193" t="s">
        <v>63</v>
      </c>
      <c r="O193" s="3" t="s">
        <v>370</v>
      </c>
      <c r="P193" s="3">
        <v>44</v>
      </c>
      <c r="Q193" t="s">
        <v>377</v>
      </c>
      <c r="R193" t="s">
        <v>378</v>
      </c>
      <c r="S193">
        <f>IF(Tabla1[[#This Row],[dias_mora]]&gt;30,Tabla1[[#This Row],[saldo_cartera]],0)</f>
        <v>0</v>
      </c>
      <c r="T193">
        <f>Tabla1[[#This Row],[saldo_mora_30]]/Tabla1[[#This Row],[saldo_cartera]]</f>
        <v>0</v>
      </c>
      <c r="U193" t="str">
        <f>VLOOKUP(N193,asesores_ficticio!$A:$C,3,FALSE)</f>
        <v>Bogotá</v>
      </c>
      <c r="V193" t="str">
        <f t="shared" si="2"/>
        <v>NO</v>
      </c>
    </row>
    <row r="194" spans="1:22" x14ac:dyDescent="0.3">
      <c r="A194" t="s">
        <v>238</v>
      </c>
      <c r="B194" t="s">
        <v>70</v>
      </c>
      <c r="C194" t="s">
        <v>71</v>
      </c>
      <c r="D194" s="1">
        <v>3430002</v>
      </c>
      <c r="E194" s="1">
        <v>-76462869</v>
      </c>
      <c r="F194" s="2">
        <v>45275</v>
      </c>
      <c r="G194" t="s">
        <v>385</v>
      </c>
      <c r="H194">
        <v>800000</v>
      </c>
      <c r="I194">
        <v>482714</v>
      </c>
      <c r="J194">
        <v>0</v>
      </c>
      <c r="K194" t="s">
        <v>37</v>
      </c>
      <c r="L194">
        <v>3500000</v>
      </c>
      <c r="M194" t="s">
        <v>23</v>
      </c>
      <c r="N194" t="s">
        <v>19</v>
      </c>
      <c r="O194" s="3" t="s">
        <v>371</v>
      </c>
      <c r="P194" s="3">
        <v>35</v>
      </c>
      <c r="Q194" t="s">
        <v>377</v>
      </c>
      <c r="R194" t="s">
        <v>378</v>
      </c>
      <c r="S194">
        <f>IF(Tabla1[[#This Row],[dias_mora]]&gt;30,Tabla1[[#This Row],[saldo_cartera]],0)</f>
        <v>0</v>
      </c>
      <c r="T194">
        <f>Tabla1[[#This Row],[saldo_mora_30]]/Tabla1[[#This Row],[saldo_cartera]]</f>
        <v>0</v>
      </c>
      <c r="U194" t="str">
        <f>VLOOKUP(N194,asesores_ficticio!$A:$C,3,FALSE)</f>
        <v>Bello</v>
      </c>
      <c r="V194" t="str">
        <f t="shared" ref="V194:V257" si="3">IF(B194=U194,"SI","NO")</f>
        <v>NO</v>
      </c>
    </row>
    <row r="195" spans="1:22" x14ac:dyDescent="0.3">
      <c r="A195" t="s">
        <v>239</v>
      </c>
      <c r="B195" t="s">
        <v>70</v>
      </c>
      <c r="C195" t="s">
        <v>71</v>
      </c>
      <c r="D195" s="1">
        <v>3479276</v>
      </c>
      <c r="E195" s="1">
        <v>-76589731</v>
      </c>
      <c r="F195" s="2">
        <v>46206</v>
      </c>
      <c r="G195" t="s">
        <v>383</v>
      </c>
      <c r="H195">
        <v>1200000</v>
      </c>
      <c r="I195">
        <v>366862</v>
      </c>
      <c r="J195">
        <v>5</v>
      </c>
      <c r="K195" t="s">
        <v>17</v>
      </c>
      <c r="L195">
        <v>3500000</v>
      </c>
      <c r="M195" t="s">
        <v>31</v>
      </c>
      <c r="N195" t="s">
        <v>57</v>
      </c>
      <c r="O195" s="3" t="s">
        <v>370</v>
      </c>
      <c r="P195" s="3">
        <v>35</v>
      </c>
      <c r="Q195" t="s">
        <v>375</v>
      </c>
      <c r="R195" t="s">
        <v>378</v>
      </c>
      <c r="S195">
        <f>IF(Tabla1[[#This Row],[dias_mora]]&gt;30,Tabla1[[#This Row],[saldo_cartera]],0)</f>
        <v>0</v>
      </c>
      <c r="T195">
        <f>Tabla1[[#This Row],[saldo_mora_30]]/Tabla1[[#This Row],[saldo_cartera]]</f>
        <v>0</v>
      </c>
      <c r="U195" t="str">
        <f>VLOOKUP(N195,asesores_ficticio!$A:$C,3,FALSE)</f>
        <v>Pereira</v>
      </c>
      <c r="V195" t="str">
        <f t="shared" si="3"/>
        <v>NO</v>
      </c>
    </row>
    <row r="196" spans="1:22" x14ac:dyDescent="0.3">
      <c r="A196" t="s">
        <v>240</v>
      </c>
      <c r="B196" t="s">
        <v>70</v>
      </c>
      <c r="C196" t="s">
        <v>71</v>
      </c>
      <c r="D196" s="1">
        <v>3457099</v>
      </c>
      <c r="E196" s="1">
        <v>-76464241</v>
      </c>
      <c r="F196" s="2">
        <v>44982</v>
      </c>
      <c r="G196" t="s">
        <v>385</v>
      </c>
      <c r="H196">
        <v>6000000</v>
      </c>
      <c r="I196">
        <v>4127715</v>
      </c>
      <c r="J196">
        <v>0</v>
      </c>
      <c r="K196" t="s">
        <v>27</v>
      </c>
      <c r="L196">
        <v>1600000</v>
      </c>
      <c r="M196" t="s">
        <v>18</v>
      </c>
      <c r="N196" t="s">
        <v>57</v>
      </c>
      <c r="O196" s="3" t="s">
        <v>370</v>
      </c>
      <c r="P196" s="3">
        <v>57</v>
      </c>
      <c r="Q196" t="s">
        <v>377</v>
      </c>
      <c r="R196" t="s">
        <v>373</v>
      </c>
      <c r="S196">
        <f>IF(Tabla1[[#This Row],[dias_mora]]&gt;30,Tabla1[[#This Row],[saldo_cartera]],0)</f>
        <v>0</v>
      </c>
      <c r="T196">
        <f>Tabla1[[#This Row],[saldo_mora_30]]/Tabla1[[#This Row],[saldo_cartera]]</f>
        <v>0</v>
      </c>
      <c r="U196" t="str">
        <f>VLOOKUP(N196,asesores_ficticio!$A:$C,3,FALSE)</f>
        <v>Pereira</v>
      </c>
      <c r="V196" t="str">
        <f t="shared" si="3"/>
        <v>NO</v>
      </c>
    </row>
    <row r="197" spans="1:22" x14ac:dyDescent="0.3">
      <c r="A197" t="s">
        <v>241</v>
      </c>
      <c r="B197" t="s">
        <v>379</v>
      </c>
      <c r="C197" t="s">
        <v>21</v>
      </c>
      <c r="D197" s="1">
        <v>6254315</v>
      </c>
      <c r="E197" s="1">
        <v>-75557995</v>
      </c>
      <c r="F197" s="2">
        <v>44930</v>
      </c>
      <c r="G197" t="s">
        <v>382</v>
      </c>
      <c r="H197">
        <v>4000000</v>
      </c>
      <c r="I197">
        <v>1758700</v>
      </c>
      <c r="J197">
        <v>15</v>
      </c>
      <c r="K197" t="s">
        <v>22</v>
      </c>
      <c r="L197">
        <v>2000000</v>
      </c>
      <c r="M197" t="s">
        <v>28</v>
      </c>
      <c r="N197" t="s">
        <v>35</v>
      </c>
      <c r="O197" s="3" t="s">
        <v>371</v>
      </c>
      <c r="P197" s="3">
        <v>54</v>
      </c>
      <c r="Q197" t="s">
        <v>375</v>
      </c>
      <c r="R197" t="s">
        <v>373</v>
      </c>
      <c r="S197">
        <f>IF(Tabla1[[#This Row],[dias_mora]]&gt;30,Tabla1[[#This Row],[saldo_cartera]],0)</f>
        <v>0</v>
      </c>
      <c r="T197">
        <f>Tabla1[[#This Row],[saldo_mora_30]]/Tabla1[[#This Row],[saldo_cartera]]</f>
        <v>0</v>
      </c>
      <c r="U197" t="str">
        <f>VLOOKUP(N197,asesores_ficticio!$A:$C,3,FALSE)</f>
        <v>Bucaramanga</v>
      </c>
      <c r="V197" t="str">
        <f t="shared" si="3"/>
        <v>NO</v>
      </c>
    </row>
    <row r="198" spans="1:22" x14ac:dyDescent="0.3">
      <c r="A198" t="s">
        <v>242</v>
      </c>
      <c r="B198" t="s">
        <v>40</v>
      </c>
      <c r="C198" t="s">
        <v>41</v>
      </c>
      <c r="D198" s="1">
        <v>7132183</v>
      </c>
      <c r="E198" s="1">
        <v>-73110662</v>
      </c>
      <c r="F198" s="2">
        <v>45444</v>
      </c>
      <c r="G198" t="s">
        <v>383</v>
      </c>
      <c r="H198">
        <v>1800000</v>
      </c>
      <c r="I198">
        <v>752403</v>
      </c>
      <c r="J198">
        <v>0</v>
      </c>
      <c r="K198" t="s">
        <v>48</v>
      </c>
      <c r="L198">
        <v>3500000</v>
      </c>
      <c r="M198" t="s">
        <v>23</v>
      </c>
      <c r="N198" t="s">
        <v>32</v>
      </c>
      <c r="O198" s="3" t="s">
        <v>370</v>
      </c>
      <c r="P198" s="3">
        <v>64</v>
      </c>
      <c r="Q198" t="s">
        <v>372</v>
      </c>
      <c r="R198" t="s">
        <v>378</v>
      </c>
      <c r="S198">
        <f>IF(Tabla1[[#This Row],[dias_mora]]&gt;30,Tabla1[[#This Row],[saldo_cartera]],0)</f>
        <v>0</v>
      </c>
      <c r="T198">
        <f>Tabla1[[#This Row],[saldo_mora_30]]/Tabla1[[#This Row],[saldo_cartera]]</f>
        <v>0</v>
      </c>
      <c r="U198" t="str">
        <f>VLOOKUP(N198,asesores_ficticio!$A:$C,3,FALSE)</f>
        <v>Cali</v>
      </c>
      <c r="V198" t="str">
        <f t="shared" si="3"/>
        <v>NO</v>
      </c>
    </row>
    <row r="199" spans="1:22" x14ac:dyDescent="0.3">
      <c r="A199" t="s">
        <v>243</v>
      </c>
      <c r="B199" t="s">
        <v>46</v>
      </c>
      <c r="C199" t="s">
        <v>21</v>
      </c>
      <c r="D199" s="1">
        <v>6275871</v>
      </c>
      <c r="E199" s="1">
        <v>-75487492</v>
      </c>
      <c r="F199" s="2">
        <v>46189</v>
      </c>
      <c r="G199" t="s">
        <v>384</v>
      </c>
      <c r="H199">
        <v>800000</v>
      </c>
      <c r="I199">
        <v>316863</v>
      </c>
      <c r="J199">
        <v>0</v>
      </c>
      <c r="K199" t="s">
        <v>37</v>
      </c>
      <c r="L199">
        <v>1300000</v>
      </c>
      <c r="M199" t="s">
        <v>31</v>
      </c>
      <c r="N199" t="s">
        <v>24</v>
      </c>
      <c r="O199" s="3" t="s">
        <v>371</v>
      </c>
      <c r="P199" s="3">
        <v>45</v>
      </c>
      <c r="Q199" t="s">
        <v>372</v>
      </c>
      <c r="R199" t="s">
        <v>376</v>
      </c>
      <c r="S199">
        <f>IF(Tabla1[[#This Row],[dias_mora]]&gt;30,Tabla1[[#This Row],[saldo_cartera]],0)</f>
        <v>0</v>
      </c>
      <c r="T199">
        <f>Tabla1[[#This Row],[saldo_mora_30]]/Tabla1[[#This Row],[saldo_cartera]]</f>
        <v>0</v>
      </c>
      <c r="U199" t="str">
        <f>VLOOKUP(N199,asesores_ficticio!$A:$C,3,FALSE)</f>
        <v>Soacha</v>
      </c>
      <c r="V199" t="str">
        <f t="shared" si="3"/>
        <v>NO</v>
      </c>
    </row>
    <row r="200" spans="1:22" x14ac:dyDescent="0.3">
      <c r="A200" t="s">
        <v>244</v>
      </c>
      <c r="B200" t="s">
        <v>46</v>
      </c>
      <c r="C200" t="s">
        <v>21</v>
      </c>
      <c r="D200" s="1">
        <v>6305342</v>
      </c>
      <c r="E200" s="1">
        <v>-7550837</v>
      </c>
      <c r="F200" s="2">
        <v>45634</v>
      </c>
      <c r="G200" t="s">
        <v>385</v>
      </c>
      <c r="H200">
        <v>500000</v>
      </c>
      <c r="I200">
        <v>59599</v>
      </c>
      <c r="J200">
        <v>0</v>
      </c>
      <c r="K200" t="s">
        <v>17</v>
      </c>
      <c r="L200">
        <v>900000</v>
      </c>
      <c r="M200" t="s">
        <v>18</v>
      </c>
      <c r="N200" t="s">
        <v>24</v>
      </c>
      <c r="O200" s="3" t="s">
        <v>371</v>
      </c>
      <c r="P200" s="3">
        <v>43</v>
      </c>
      <c r="Q200" t="s">
        <v>372</v>
      </c>
      <c r="R200" t="s">
        <v>376</v>
      </c>
      <c r="S200">
        <f>IF(Tabla1[[#This Row],[dias_mora]]&gt;30,Tabla1[[#This Row],[saldo_cartera]],0)</f>
        <v>0</v>
      </c>
      <c r="T200">
        <f>Tabla1[[#This Row],[saldo_mora_30]]/Tabla1[[#This Row],[saldo_cartera]]</f>
        <v>0</v>
      </c>
      <c r="U200" t="str">
        <f>VLOOKUP(N200,asesores_ficticio!$A:$C,3,FALSE)</f>
        <v>Soacha</v>
      </c>
      <c r="V200" t="str">
        <f t="shared" si="3"/>
        <v>NO</v>
      </c>
    </row>
    <row r="201" spans="1:22" x14ac:dyDescent="0.3">
      <c r="A201" t="s">
        <v>245</v>
      </c>
      <c r="B201" t="s">
        <v>40</v>
      </c>
      <c r="C201" t="s">
        <v>41</v>
      </c>
      <c r="D201" s="1">
        <v>7107519</v>
      </c>
      <c r="E201" s="1">
        <v>-73128771</v>
      </c>
      <c r="F201" s="2">
        <v>46204</v>
      </c>
      <c r="G201" t="s">
        <v>385</v>
      </c>
      <c r="H201">
        <v>6000000</v>
      </c>
      <c r="I201">
        <v>2665742</v>
      </c>
      <c r="J201">
        <v>0</v>
      </c>
      <c r="K201" t="s">
        <v>37</v>
      </c>
      <c r="L201">
        <v>3500000</v>
      </c>
      <c r="M201" t="s">
        <v>28</v>
      </c>
      <c r="N201" t="s">
        <v>32</v>
      </c>
      <c r="O201" s="3" t="s">
        <v>370</v>
      </c>
      <c r="P201" s="3">
        <v>30</v>
      </c>
      <c r="Q201" t="s">
        <v>372</v>
      </c>
      <c r="R201" t="s">
        <v>378</v>
      </c>
      <c r="S201">
        <f>IF(Tabla1[[#This Row],[dias_mora]]&gt;30,Tabla1[[#This Row],[saldo_cartera]],0)</f>
        <v>0</v>
      </c>
      <c r="T201">
        <f>Tabla1[[#This Row],[saldo_mora_30]]/Tabla1[[#This Row],[saldo_cartera]]</f>
        <v>0</v>
      </c>
      <c r="U201" t="str">
        <f>VLOOKUP(N201,asesores_ficticio!$A:$C,3,FALSE)</f>
        <v>Cali</v>
      </c>
      <c r="V201" t="str">
        <f t="shared" si="3"/>
        <v>NO</v>
      </c>
    </row>
    <row r="202" spans="1:22" x14ac:dyDescent="0.3">
      <c r="A202" t="s">
        <v>246</v>
      </c>
      <c r="B202" t="s">
        <v>70</v>
      </c>
      <c r="C202" t="s">
        <v>71</v>
      </c>
      <c r="D202" s="1">
        <v>3372312</v>
      </c>
      <c r="E202" s="1">
        <v>-76577633</v>
      </c>
      <c r="F202" s="2">
        <v>45175</v>
      </c>
      <c r="G202" t="s">
        <v>382</v>
      </c>
      <c r="H202">
        <v>1200000</v>
      </c>
      <c r="I202">
        <v>887372</v>
      </c>
      <c r="J202">
        <v>30</v>
      </c>
      <c r="K202" t="s">
        <v>27</v>
      </c>
      <c r="L202">
        <v>900000</v>
      </c>
      <c r="M202" t="s">
        <v>18</v>
      </c>
      <c r="N202" t="s">
        <v>38</v>
      </c>
      <c r="O202" s="3" t="s">
        <v>371</v>
      </c>
      <c r="P202" s="3">
        <v>60</v>
      </c>
      <c r="Q202" t="s">
        <v>374</v>
      </c>
      <c r="R202" t="s">
        <v>376</v>
      </c>
      <c r="S202">
        <f>IF(Tabla1[[#This Row],[dias_mora]]&gt;30,Tabla1[[#This Row],[saldo_cartera]],0)</f>
        <v>0</v>
      </c>
      <c r="T202">
        <f>Tabla1[[#This Row],[saldo_mora_30]]/Tabla1[[#This Row],[saldo_cartera]]</f>
        <v>0</v>
      </c>
      <c r="U202" t="str">
        <f>VLOOKUP(N202,asesores_ficticio!$A:$C,3,FALSE)</f>
        <v>Barranquilla</v>
      </c>
      <c r="V202" t="str">
        <f t="shared" si="3"/>
        <v>NO</v>
      </c>
    </row>
    <row r="203" spans="1:22" x14ac:dyDescent="0.3">
      <c r="A203" t="s">
        <v>247</v>
      </c>
      <c r="B203" t="s">
        <v>46</v>
      </c>
      <c r="C203" t="s">
        <v>21</v>
      </c>
      <c r="D203" s="1">
        <v>6299277</v>
      </c>
      <c r="E203" s="1">
        <v>-75499978</v>
      </c>
      <c r="F203" s="2">
        <v>46299</v>
      </c>
      <c r="G203" t="s">
        <v>382</v>
      </c>
      <c r="H203">
        <v>2500000</v>
      </c>
      <c r="I203">
        <v>2302572</v>
      </c>
      <c r="J203">
        <v>0</v>
      </c>
      <c r="K203" t="s">
        <v>27</v>
      </c>
      <c r="L203">
        <v>2000000</v>
      </c>
      <c r="M203" t="s">
        <v>31</v>
      </c>
      <c r="N203" t="s">
        <v>57</v>
      </c>
      <c r="O203" s="3" t="s">
        <v>370</v>
      </c>
      <c r="P203" s="3">
        <v>51</v>
      </c>
      <c r="Q203" t="s">
        <v>377</v>
      </c>
      <c r="R203" t="s">
        <v>373</v>
      </c>
      <c r="S203">
        <f>IF(Tabla1[[#This Row],[dias_mora]]&gt;30,Tabla1[[#This Row],[saldo_cartera]],0)</f>
        <v>0</v>
      </c>
      <c r="T203">
        <f>Tabla1[[#This Row],[saldo_mora_30]]/Tabla1[[#This Row],[saldo_cartera]]</f>
        <v>0</v>
      </c>
      <c r="U203" t="str">
        <f>VLOOKUP(N203,asesores_ficticio!$A:$C,3,FALSE)</f>
        <v>Pereira</v>
      </c>
      <c r="V203" t="str">
        <f t="shared" si="3"/>
        <v>NO</v>
      </c>
    </row>
    <row r="204" spans="1:22" x14ac:dyDescent="0.3">
      <c r="A204" t="s">
        <v>248</v>
      </c>
      <c r="B204" t="s">
        <v>380</v>
      </c>
      <c r="C204" t="s">
        <v>21</v>
      </c>
      <c r="D204" s="1">
        <v>6222098</v>
      </c>
      <c r="E204" s="1">
        <v>-75579242</v>
      </c>
      <c r="F204" s="2">
        <v>45447</v>
      </c>
      <c r="G204" t="s">
        <v>385</v>
      </c>
      <c r="H204">
        <v>1200000</v>
      </c>
      <c r="I204">
        <v>1057056</v>
      </c>
      <c r="J204">
        <v>0</v>
      </c>
      <c r="K204" t="s">
        <v>27</v>
      </c>
      <c r="L204">
        <v>3500000</v>
      </c>
      <c r="M204" t="s">
        <v>50</v>
      </c>
      <c r="N204" t="s">
        <v>42</v>
      </c>
      <c r="O204" s="3" t="s">
        <v>371</v>
      </c>
      <c r="P204" s="3">
        <v>55</v>
      </c>
      <c r="Q204" t="s">
        <v>377</v>
      </c>
      <c r="R204" t="s">
        <v>378</v>
      </c>
      <c r="S204">
        <f>IF(Tabla1[[#This Row],[dias_mora]]&gt;30,Tabla1[[#This Row],[saldo_cartera]],0)</f>
        <v>0</v>
      </c>
      <c r="T204">
        <f>Tabla1[[#This Row],[saldo_mora_30]]/Tabla1[[#This Row],[saldo_cartera]]</f>
        <v>0</v>
      </c>
      <c r="U204" t="str">
        <f>VLOOKUP(N204,asesores_ficticio!$A:$C,3,FALSE)</f>
        <v>Itagüí</v>
      </c>
      <c r="V204" t="str">
        <f t="shared" si="3"/>
        <v>SI</v>
      </c>
    </row>
    <row r="205" spans="1:22" x14ac:dyDescent="0.3">
      <c r="A205" t="s">
        <v>249</v>
      </c>
      <c r="B205" t="s">
        <v>15</v>
      </c>
      <c r="C205" t="s">
        <v>16</v>
      </c>
      <c r="D205" s="1">
        <v>461025</v>
      </c>
      <c r="E205" s="1">
        <v>-74214868</v>
      </c>
      <c r="F205" s="2">
        <v>45525</v>
      </c>
      <c r="G205" t="s">
        <v>385</v>
      </c>
      <c r="H205">
        <v>1800000</v>
      </c>
      <c r="I205">
        <v>1092532</v>
      </c>
      <c r="J205">
        <v>0</v>
      </c>
      <c r="K205" t="s">
        <v>17</v>
      </c>
      <c r="L205">
        <v>2000000</v>
      </c>
      <c r="M205" t="s">
        <v>18</v>
      </c>
      <c r="N205" t="s">
        <v>38</v>
      </c>
      <c r="O205" s="3" t="s">
        <v>370</v>
      </c>
      <c r="P205" s="3">
        <v>33</v>
      </c>
      <c r="Q205" t="s">
        <v>377</v>
      </c>
      <c r="R205" t="s">
        <v>373</v>
      </c>
      <c r="S205">
        <f>IF(Tabla1[[#This Row],[dias_mora]]&gt;30,Tabla1[[#This Row],[saldo_cartera]],0)</f>
        <v>0</v>
      </c>
      <c r="T205">
        <f>Tabla1[[#This Row],[saldo_mora_30]]/Tabla1[[#This Row],[saldo_cartera]]</f>
        <v>0</v>
      </c>
      <c r="U205" t="str">
        <f>VLOOKUP(N205,asesores_ficticio!$A:$C,3,FALSE)</f>
        <v>Barranquilla</v>
      </c>
      <c r="V205" t="str">
        <f t="shared" si="3"/>
        <v>NO</v>
      </c>
    </row>
    <row r="206" spans="1:22" x14ac:dyDescent="0.3">
      <c r="A206" t="s">
        <v>250</v>
      </c>
      <c r="B206" t="s">
        <v>381</v>
      </c>
      <c r="C206" t="s">
        <v>16</v>
      </c>
      <c r="D206" s="1">
        <v>4653447</v>
      </c>
      <c r="E206" s="1">
        <v>-74101767</v>
      </c>
      <c r="F206" s="2">
        <v>46088</v>
      </c>
      <c r="G206" t="s">
        <v>383</v>
      </c>
      <c r="H206">
        <v>1800000</v>
      </c>
      <c r="I206">
        <v>1127697</v>
      </c>
      <c r="J206">
        <v>45</v>
      </c>
      <c r="K206" t="s">
        <v>17</v>
      </c>
      <c r="L206">
        <v>900000</v>
      </c>
      <c r="M206" t="s">
        <v>28</v>
      </c>
      <c r="N206" t="s">
        <v>38</v>
      </c>
      <c r="O206" s="3" t="s">
        <v>370</v>
      </c>
      <c r="P206" s="3">
        <v>50</v>
      </c>
      <c r="Q206" t="s">
        <v>374</v>
      </c>
      <c r="R206" t="s">
        <v>376</v>
      </c>
      <c r="S206">
        <f>IF(Tabla1[[#This Row],[dias_mora]]&gt;30,Tabla1[[#This Row],[saldo_cartera]],0)</f>
        <v>1127697</v>
      </c>
      <c r="T206">
        <f>Tabla1[[#This Row],[saldo_mora_30]]/Tabla1[[#This Row],[saldo_cartera]]</f>
        <v>1</v>
      </c>
      <c r="U206" t="str">
        <f>VLOOKUP(N206,asesores_ficticio!$A:$C,3,FALSE)</f>
        <v>Barranquilla</v>
      </c>
      <c r="V206" t="str">
        <f t="shared" si="3"/>
        <v>NO</v>
      </c>
    </row>
    <row r="207" spans="1:22" x14ac:dyDescent="0.3">
      <c r="A207" t="s">
        <v>251</v>
      </c>
      <c r="B207" t="s">
        <v>70</v>
      </c>
      <c r="C207" t="s">
        <v>71</v>
      </c>
      <c r="D207" s="1">
        <v>3481151</v>
      </c>
      <c r="E207" s="1">
        <v>-76545499</v>
      </c>
      <c r="F207" s="2">
        <v>45026</v>
      </c>
      <c r="G207" t="s">
        <v>384</v>
      </c>
      <c r="H207">
        <v>6000000</v>
      </c>
      <c r="I207">
        <v>2863644</v>
      </c>
      <c r="J207">
        <v>0</v>
      </c>
      <c r="K207" t="s">
        <v>27</v>
      </c>
      <c r="L207">
        <v>2800000</v>
      </c>
      <c r="M207" t="s">
        <v>18</v>
      </c>
      <c r="N207" t="s">
        <v>35</v>
      </c>
      <c r="O207" s="3" t="s">
        <v>371</v>
      </c>
      <c r="P207" s="3">
        <v>61</v>
      </c>
      <c r="Q207" t="s">
        <v>372</v>
      </c>
      <c r="R207" t="s">
        <v>373</v>
      </c>
      <c r="S207">
        <f>IF(Tabla1[[#This Row],[dias_mora]]&gt;30,Tabla1[[#This Row],[saldo_cartera]],0)</f>
        <v>0</v>
      </c>
      <c r="T207">
        <f>Tabla1[[#This Row],[saldo_mora_30]]/Tabla1[[#This Row],[saldo_cartera]]</f>
        <v>0</v>
      </c>
      <c r="U207" t="str">
        <f>VLOOKUP(N207,asesores_ficticio!$A:$C,3,FALSE)</f>
        <v>Bucaramanga</v>
      </c>
      <c r="V207" t="str">
        <f t="shared" si="3"/>
        <v>NO</v>
      </c>
    </row>
    <row r="208" spans="1:22" x14ac:dyDescent="0.3">
      <c r="A208" t="s">
        <v>252</v>
      </c>
      <c r="B208" t="s">
        <v>381</v>
      </c>
      <c r="C208" t="s">
        <v>16</v>
      </c>
      <c r="D208" s="1">
        <v>4657913</v>
      </c>
      <c r="E208" s="1">
        <v>-74078929</v>
      </c>
      <c r="F208" s="2">
        <v>45203</v>
      </c>
      <c r="G208" t="s">
        <v>382</v>
      </c>
      <c r="H208">
        <v>4000000</v>
      </c>
      <c r="I208">
        <v>3026662</v>
      </c>
      <c r="J208">
        <v>0</v>
      </c>
      <c r="K208" t="s">
        <v>17</v>
      </c>
      <c r="L208">
        <v>2800000</v>
      </c>
      <c r="M208" t="s">
        <v>23</v>
      </c>
      <c r="N208" t="s">
        <v>35</v>
      </c>
      <c r="O208" s="3" t="s">
        <v>370</v>
      </c>
      <c r="P208" s="3">
        <v>25</v>
      </c>
      <c r="Q208" t="s">
        <v>377</v>
      </c>
      <c r="R208" t="s">
        <v>373</v>
      </c>
      <c r="S208">
        <f>IF(Tabla1[[#This Row],[dias_mora]]&gt;30,Tabla1[[#This Row],[saldo_cartera]],0)</f>
        <v>0</v>
      </c>
      <c r="T208">
        <f>Tabla1[[#This Row],[saldo_mora_30]]/Tabla1[[#This Row],[saldo_cartera]]</f>
        <v>0</v>
      </c>
      <c r="U208" t="str">
        <f>VLOOKUP(N208,asesores_ficticio!$A:$C,3,FALSE)</f>
        <v>Bucaramanga</v>
      </c>
      <c r="V208" t="str">
        <f t="shared" si="3"/>
        <v>NO</v>
      </c>
    </row>
    <row r="209" spans="1:22" x14ac:dyDescent="0.3">
      <c r="A209" t="s">
        <v>253</v>
      </c>
      <c r="B209" t="s">
        <v>379</v>
      </c>
      <c r="C209" t="s">
        <v>21</v>
      </c>
      <c r="D209" s="1">
        <v>6285801</v>
      </c>
      <c r="E209" s="1">
        <v>-75590581</v>
      </c>
      <c r="F209" s="2">
        <v>45440</v>
      </c>
      <c r="G209" t="s">
        <v>384</v>
      </c>
      <c r="H209">
        <v>800000</v>
      </c>
      <c r="I209">
        <v>753047</v>
      </c>
      <c r="J209">
        <v>0</v>
      </c>
      <c r="K209" t="s">
        <v>37</v>
      </c>
      <c r="L209">
        <v>3500000</v>
      </c>
      <c r="M209" t="s">
        <v>23</v>
      </c>
      <c r="N209" t="s">
        <v>24</v>
      </c>
      <c r="O209" s="3" t="s">
        <v>370</v>
      </c>
      <c r="P209" s="3">
        <v>53</v>
      </c>
      <c r="Q209" t="s">
        <v>377</v>
      </c>
      <c r="R209" t="s">
        <v>378</v>
      </c>
      <c r="S209">
        <f>IF(Tabla1[[#This Row],[dias_mora]]&gt;30,Tabla1[[#This Row],[saldo_cartera]],0)</f>
        <v>0</v>
      </c>
      <c r="T209">
        <f>Tabla1[[#This Row],[saldo_mora_30]]/Tabla1[[#This Row],[saldo_cartera]]</f>
        <v>0</v>
      </c>
      <c r="U209" t="str">
        <f>VLOOKUP(N209,asesores_ficticio!$A:$C,3,FALSE)</f>
        <v>Soacha</v>
      </c>
      <c r="V209" t="str">
        <f t="shared" si="3"/>
        <v>NO</v>
      </c>
    </row>
    <row r="210" spans="1:22" x14ac:dyDescent="0.3">
      <c r="A210" t="s">
        <v>254</v>
      </c>
      <c r="B210" t="s">
        <v>46</v>
      </c>
      <c r="C210" t="s">
        <v>21</v>
      </c>
      <c r="D210" s="1">
        <v>6327551</v>
      </c>
      <c r="E210" s="1">
        <v>-75478967</v>
      </c>
      <c r="F210" s="2">
        <v>46011</v>
      </c>
      <c r="G210" t="s">
        <v>383</v>
      </c>
      <c r="H210">
        <v>6000000</v>
      </c>
      <c r="I210">
        <v>4740633</v>
      </c>
      <c r="J210">
        <v>0</v>
      </c>
      <c r="K210" t="s">
        <v>22</v>
      </c>
      <c r="L210">
        <v>3500000</v>
      </c>
      <c r="M210" t="s">
        <v>28</v>
      </c>
      <c r="N210" t="s">
        <v>42</v>
      </c>
      <c r="O210" s="3" t="s">
        <v>371</v>
      </c>
      <c r="P210" s="3">
        <v>63</v>
      </c>
      <c r="Q210" t="s">
        <v>377</v>
      </c>
      <c r="R210" t="s">
        <v>378</v>
      </c>
      <c r="S210">
        <f>IF(Tabla1[[#This Row],[dias_mora]]&gt;30,Tabla1[[#This Row],[saldo_cartera]],0)</f>
        <v>0</v>
      </c>
      <c r="T210">
        <f>Tabla1[[#This Row],[saldo_mora_30]]/Tabla1[[#This Row],[saldo_cartera]]</f>
        <v>0</v>
      </c>
      <c r="U210" t="str">
        <f>VLOOKUP(N210,asesores_ficticio!$A:$C,3,FALSE)</f>
        <v>Itagüí</v>
      </c>
      <c r="V210" t="str">
        <f t="shared" si="3"/>
        <v>NO</v>
      </c>
    </row>
    <row r="211" spans="1:22" x14ac:dyDescent="0.3">
      <c r="A211" t="s">
        <v>255</v>
      </c>
      <c r="B211" t="s">
        <v>26</v>
      </c>
      <c r="C211" t="s">
        <v>21</v>
      </c>
      <c r="D211" s="1">
        <v>6204965</v>
      </c>
      <c r="E211" s="1">
        <v>-7532573</v>
      </c>
      <c r="F211" s="2">
        <v>45466</v>
      </c>
      <c r="G211" t="s">
        <v>382</v>
      </c>
      <c r="H211">
        <v>2500000</v>
      </c>
      <c r="I211">
        <v>995483</v>
      </c>
      <c r="J211">
        <v>0</v>
      </c>
      <c r="K211" t="s">
        <v>27</v>
      </c>
      <c r="L211">
        <v>2800000</v>
      </c>
      <c r="M211" t="s">
        <v>28</v>
      </c>
      <c r="N211" t="s">
        <v>63</v>
      </c>
      <c r="O211" s="3" t="s">
        <v>371</v>
      </c>
      <c r="P211" s="3">
        <v>40</v>
      </c>
      <c r="Q211" t="s">
        <v>372</v>
      </c>
      <c r="R211" t="s">
        <v>373</v>
      </c>
      <c r="S211">
        <f>IF(Tabla1[[#This Row],[dias_mora]]&gt;30,Tabla1[[#This Row],[saldo_cartera]],0)</f>
        <v>0</v>
      </c>
      <c r="T211">
        <f>Tabla1[[#This Row],[saldo_mora_30]]/Tabla1[[#This Row],[saldo_cartera]]</f>
        <v>0</v>
      </c>
      <c r="U211" t="str">
        <f>VLOOKUP(N211,asesores_ficticio!$A:$C,3,FALSE)</f>
        <v>Bogotá</v>
      </c>
      <c r="V211" t="str">
        <f t="shared" si="3"/>
        <v>NO</v>
      </c>
    </row>
    <row r="212" spans="1:22" x14ac:dyDescent="0.3">
      <c r="A212" t="s">
        <v>256</v>
      </c>
      <c r="B212" t="s">
        <v>40</v>
      </c>
      <c r="C212" t="s">
        <v>41</v>
      </c>
      <c r="D212" s="1">
        <v>7196978</v>
      </c>
      <c r="E212" s="1">
        <v>-73094012</v>
      </c>
      <c r="F212" s="2">
        <v>45074</v>
      </c>
      <c r="G212" t="s">
        <v>385</v>
      </c>
      <c r="H212">
        <v>500000</v>
      </c>
      <c r="I212">
        <v>107625</v>
      </c>
      <c r="J212">
        <v>15</v>
      </c>
      <c r="K212" t="s">
        <v>22</v>
      </c>
      <c r="L212">
        <v>2000000</v>
      </c>
      <c r="M212" t="s">
        <v>18</v>
      </c>
      <c r="N212" t="s">
        <v>42</v>
      </c>
      <c r="O212" s="3" t="s">
        <v>371</v>
      </c>
      <c r="P212" s="3">
        <v>58</v>
      </c>
      <c r="Q212" t="s">
        <v>375</v>
      </c>
      <c r="R212" t="s">
        <v>373</v>
      </c>
      <c r="S212">
        <f>IF(Tabla1[[#This Row],[dias_mora]]&gt;30,Tabla1[[#This Row],[saldo_cartera]],0)</f>
        <v>0</v>
      </c>
      <c r="T212">
        <f>Tabla1[[#This Row],[saldo_mora_30]]/Tabla1[[#This Row],[saldo_cartera]]</f>
        <v>0</v>
      </c>
      <c r="U212" t="str">
        <f>VLOOKUP(N212,asesores_ficticio!$A:$C,3,FALSE)</f>
        <v>Itagüí</v>
      </c>
      <c r="V212" t="str">
        <f t="shared" si="3"/>
        <v>NO</v>
      </c>
    </row>
    <row r="213" spans="1:22" x14ac:dyDescent="0.3">
      <c r="A213" t="s">
        <v>257</v>
      </c>
      <c r="B213" t="s">
        <v>15</v>
      </c>
      <c r="C213" t="s">
        <v>16</v>
      </c>
      <c r="D213" s="1">
        <v>4631857</v>
      </c>
      <c r="E213" s="1">
        <v>-74174764</v>
      </c>
      <c r="F213" s="2">
        <v>45975</v>
      </c>
      <c r="G213" t="s">
        <v>383</v>
      </c>
      <c r="H213">
        <v>4000000</v>
      </c>
      <c r="I213">
        <v>1735183</v>
      </c>
      <c r="J213">
        <v>0</v>
      </c>
      <c r="K213" t="s">
        <v>37</v>
      </c>
      <c r="L213">
        <v>3500000</v>
      </c>
      <c r="M213" t="s">
        <v>50</v>
      </c>
      <c r="N213" t="s">
        <v>19</v>
      </c>
      <c r="O213" s="3" t="s">
        <v>370</v>
      </c>
      <c r="P213" s="3">
        <v>24</v>
      </c>
      <c r="Q213" t="s">
        <v>372</v>
      </c>
      <c r="R213" t="s">
        <v>378</v>
      </c>
      <c r="S213">
        <f>IF(Tabla1[[#This Row],[dias_mora]]&gt;30,Tabla1[[#This Row],[saldo_cartera]],0)</f>
        <v>0</v>
      </c>
      <c r="T213">
        <f>Tabla1[[#This Row],[saldo_mora_30]]/Tabla1[[#This Row],[saldo_cartera]]</f>
        <v>0</v>
      </c>
      <c r="U213" t="str">
        <f>VLOOKUP(N213,asesores_ficticio!$A:$C,3,FALSE)</f>
        <v>Bello</v>
      </c>
      <c r="V213" t="str">
        <f t="shared" si="3"/>
        <v>NO</v>
      </c>
    </row>
    <row r="214" spans="1:22" x14ac:dyDescent="0.3">
      <c r="A214" t="s">
        <v>258</v>
      </c>
      <c r="B214" t="s">
        <v>70</v>
      </c>
      <c r="C214" t="s">
        <v>71</v>
      </c>
      <c r="D214" s="1">
        <v>3454098</v>
      </c>
      <c r="E214" s="1">
        <v>-76567484</v>
      </c>
      <c r="F214" s="2">
        <v>45263</v>
      </c>
      <c r="G214" t="s">
        <v>383</v>
      </c>
      <c r="H214">
        <v>1200000</v>
      </c>
      <c r="I214">
        <v>583790</v>
      </c>
      <c r="J214">
        <v>0</v>
      </c>
      <c r="K214" t="s">
        <v>27</v>
      </c>
      <c r="L214">
        <v>2800000</v>
      </c>
      <c r="M214" t="s">
        <v>50</v>
      </c>
      <c r="N214" t="s">
        <v>35</v>
      </c>
      <c r="O214" s="3" t="s">
        <v>370</v>
      </c>
      <c r="P214" s="3">
        <v>32</v>
      </c>
      <c r="Q214" t="s">
        <v>372</v>
      </c>
      <c r="R214" t="s">
        <v>373</v>
      </c>
      <c r="S214">
        <f>IF(Tabla1[[#This Row],[dias_mora]]&gt;30,Tabla1[[#This Row],[saldo_cartera]],0)</f>
        <v>0</v>
      </c>
      <c r="T214">
        <f>Tabla1[[#This Row],[saldo_mora_30]]/Tabla1[[#This Row],[saldo_cartera]]</f>
        <v>0</v>
      </c>
      <c r="U214" t="str">
        <f>VLOOKUP(N214,asesores_ficticio!$A:$C,3,FALSE)</f>
        <v>Bucaramanga</v>
      </c>
      <c r="V214" t="str">
        <f t="shared" si="3"/>
        <v>NO</v>
      </c>
    </row>
    <row r="215" spans="1:22" x14ac:dyDescent="0.3">
      <c r="A215" t="s">
        <v>259</v>
      </c>
      <c r="B215" t="s">
        <v>70</v>
      </c>
      <c r="C215" t="s">
        <v>71</v>
      </c>
      <c r="D215" s="1">
        <v>3406453</v>
      </c>
      <c r="E215" s="1">
        <v>-76543257</v>
      </c>
      <c r="F215" s="2">
        <v>45919</v>
      </c>
      <c r="G215" t="s">
        <v>385</v>
      </c>
      <c r="H215">
        <v>800000</v>
      </c>
      <c r="I215">
        <v>416406</v>
      </c>
      <c r="J215">
        <v>0</v>
      </c>
      <c r="K215" t="s">
        <v>17</v>
      </c>
      <c r="L215">
        <v>1600000</v>
      </c>
      <c r="M215" t="s">
        <v>31</v>
      </c>
      <c r="N215" t="s">
        <v>24</v>
      </c>
      <c r="O215" s="3" t="s">
        <v>370</v>
      </c>
      <c r="P215" s="3">
        <v>62</v>
      </c>
      <c r="Q215" t="s">
        <v>377</v>
      </c>
      <c r="R215" t="s">
        <v>373</v>
      </c>
      <c r="S215">
        <f>IF(Tabla1[[#This Row],[dias_mora]]&gt;30,Tabla1[[#This Row],[saldo_cartera]],0)</f>
        <v>0</v>
      </c>
      <c r="T215">
        <f>Tabla1[[#This Row],[saldo_mora_30]]/Tabla1[[#This Row],[saldo_cartera]]</f>
        <v>0</v>
      </c>
      <c r="U215" t="str">
        <f>VLOOKUP(N215,asesores_ficticio!$A:$C,3,FALSE)</f>
        <v>Soacha</v>
      </c>
      <c r="V215" t="str">
        <f t="shared" si="3"/>
        <v>NO</v>
      </c>
    </row>
    <row r="216" spans="1:22" x14ac:dyDescent="0.3">
      <c r="A216" t="s">
        <v>260</v>
      </c>
      <c r="B216" t="s">
        <v>379</v>
      </c>
      <c r="C216" t="s">
        <v>21</v>
      </c>
      <c r="D216" s="1">
        <v>6171551</v>
      </c>
      <c r="E216" s="1">
        <v>-75561011</v>
      </c>
      <c r="F216" s="2">
        <v>46235</v>
      </c>
      <c r="G216" t="s">
        <v>383</v>
      </c>
      <c r="H216">
        <v>6000000</v>
      </c>
      <c r="I216">
        <v>2943867</v>
      </c>
      <c r="J216">
        <v>0</v>
      </c>
      <c r="K216" t="s">
        <v>22</v>
      </c>
      <c r="L216">
        <v>1300000</v>
      </c>
      <c r="M216" t="s">
        <v>18</v>
      </c>
      <c r="N216" t="s">
        <v>63</v>
      </c>
      <c r="O216" s="3" t="s">
        <v>371</v>
      </c>
      <c r="P216" s="3">
        <v>28</v>
      </c>
      <c r="Q216" t="s">
        <v>372</v>
      </c>
      <c r="R216" t="s">
        <v>376</v>
      </c>
      <c r="S216">
        <f>IF(Tabla1[[#This Row],[dias_mora]]&gt;30,Tabla1[[#This Row],[saldo_cartera]],0)</f>
        <v>0</v>
      </c>
      <c r="T216">
        <f>Tabla1[[#This Row],[saldo_mora_30]]/Tabla1[[#This Row],[saldo_cartera]]</f>
        <v>0</v>
      </c>
      <c r="U216" t="str">
        <f>VLOOKUP(N216,asesores_ficticio!$A:$C,3,FALSE)</f>
        <v>Bogotá</v>
      </c>
      <c r="V216" t="str">
        <f t="shared" si="3"/>
        <v>NO</v>
      </c>
    </row>
    <row r="217" spans="1:22" x14ac:dyDescent="0.3">
      <c r="A217" t="s">
        <v>261</v>
      </c>
      <c r="B217" t="s">
        <v>380</v>
      </c>
      <c r="C217" t="s">
        <v>21</v>
      </c>
      <c r="D217" s="1">
        <v>6231808</v>
      </c>
      <c r="E217" s="1">
        <v>-75551945</v>
      </c>
      <c r="F217" s="2">
        <v>45304</v>
      </c>
      <c r="G217" t="s">
        <v>382</v>
      </c>
      <c r="H217">
        <v>500000</v>
      </c>
      <c r="I217">
        <v>328200</v>
      </c>
      <c r="J217">
        <v>0</v>
      </c>
      <c r="K217" t="s">
        <v>22</v>
      </c>
      <c r="L217">
        <v>1600000</v>
      </c>
      <c r="M217" t="s">
        <v>31</v>
      </c>
      <c r="N217" t="s">
        <v>19</v>
      </c>
      <c r="O217" s="3" t="s">
        <v>370</v>
      </c>
      <c r="P217" s="3">
        <v>42</v>
      </c>
      <c r="Q217" t="s">
        <v>377</v>
      </c>
      <c r="R217" t="s">
        <v>373</v>
      </c>
      <c r="S217">
        <f>IF(Tabla1[[#This Row],[dias_mora]]&gt;30,Tabla1[[#This Row],[saldo_cartera]],0)</f>
        <v>0</v>
      </c>
      <c r="T217">
        <f>Tabla1[[#This Row],[saldo_mora_30]]/Tabla1[[#This Row],[saldo_cartera]]</f>
        <v>0</v>
      </c>
      <c r="U217" t="str">
        <f>VLOOKUP(N217,asesores_ficticio!$A:$C,3,FALSE)</f>
        <v>Bello</v>
      </c>
      <c r="V217" t="str">
        <f t="shared" si="3"/>
        <v>NO</v>
      </c>
    </row>
    <row r="218" spans="1:22" x14ac:dyDescent="0.3">
      <c r="A218" t="s">
        <v>262</v>
      </c>
      <c r="B218" t="s">
        <v>46</v>
      </c>
      <c r="C218" t="s">
        <v>21</v>
      </c>
      <c r="D218" s="1">
        <v>6257474</v>
      </c>
      <c r="E218" s="1">
        <v>-75561711</v>
      </c>
      <c r="F218" s="2">
        <v>44949</v>
      </c>
      <c r="G218" t="s">
        <v>382</v>
      </c>
      <c r="H218">
        <v>800000</v>
      </c>
      <c r="I218">
        <v>483702</v>
      </c>
      <c r="J218">
        <v>0</v>
      </c>
      <c r="K218" t="s">
        <v>48</v>
      </c>
      <c r="L218">
        <v>2000000</v>
      </c>
      <c r="M218" t="s">
        <v>31</v>
      </c>
      <c r="N218" t="s">
        <v>42</v>
      </c>
      <c r="O218" s="3" t="s">
        <v>371</v>
      </c>
      <c r="P218" s="3">
        <v>43</v>
      </c>
      <c r="Q218" t="s">
        <v>377</v>
      </c>
      <c r="R218" t="s">
        <v>373</v>
      </c>
      <c r="S218">
        <f>IF(Tabla1[[#This Row],[dias_mora]]&gt;30,Tabla1[[#This Row],[saldo_cartera]],0)</f>
        <v>0</v>
      </c>
      <c r="T218">
        <f>Tabla1[[#This Row],[saldo_mora_30]]/Tabla1[[#This Row],[saldo_cartera]]</f>
        <v>0</v>
      </c>
      <c r="U218" t="str">
        <f>VLOOKUP(N218,asesores_ficticio!$A:$C,3,FALSE)</f>
        <v>Itagüí</v>
      </c>
      <c r="V218" t="str">
        <f t="shared" si="3"/>
        <v>NO</v>
      </c>
    </row>
    <row r="219" spans="1:22" x14ac:dyDescent="0.3">
      <c r="A219" t="s">
        <v>263</v>
      </c>
      <c r="B219" t="s">
        <v>34</v>
      </c>
      <c r="C219" t="s">
        <v>386</v>
      </c>
      <c r="D219" s="1">
        <v>10895233</v>
      </c>
      <c r="E219" s="1">
        <v>-74815109</v>
      </c>
      <c r="F219" s="2">
        <v>45729</v>
      </c>
      <c r="G219" t="s">
        <v>385</v>
      </c>
      <c r="H219">
        <v>4000000</v>
      </c>
      <c r="I219">
        <v>3140253</v>
      </c>
      <c r="J219">
        <v>0</v>
      </c>
      <c r="K219" t="s">
        <v>22</v>
      </c>
      <c r="L219">
        <v>1600000</v>
      </c>
      <c r="M219" t="s">
        <v>50</v>
      </c>
      <c r="N219" t="s">
        <v>35</v>
      </c>
      <c r="O219" s="3" t="s">
        <v>370</v>
      </c>
      <c r="P219" s="3">
        <v>21</v>
      </c>
      <c r="Q219" t="s">
        <v>377</v>
      </c>
      <c r="R219" t="s">
        <v>373</v>
      </c>
      <c r="S219">
        <f>IF(Tabla1[[#This Row],[dias_mora]]&gt;30,Tabla1[[#This Row],[saldo_cartera]],0)</f>
        <v>0</v>
      </c>
      <c r="T219">
        <f>Tabla1[[#This Row],[saldo_mora_30]]/Tabla1[[#This Row],[saldo_cartera]]</f>
        <v>0</v>
      </c>
      <c r="U219" t="str">
        <f>VLOOKUP(N219,asesores_ficticio!$A:$C,3,FALSE)</f>
        <v>Bucaramanga</v>
      </c>
      <c r="V219" t="str">
        <f t="shared" si="3"/>
        <v>NO</v>
      </c>
    </row>
    <row r="220" spans="1:22" x14ac:dyDescent="0.3">
      <c r="A220" t="s">
        <v>264</v>
      </c>
      <c r="B220" t="s">
        <v>76</v>
      </c>
      <c r="C220" t="s">
        <v>77</v>
      </c>
      <c r="D220" s="1">
        <v>4735656</v>
      </c>
      <c r="E220" s="1">
        <v>-75670597</v>
      </c>
      <c r="F220" s="2">
        <v>45493</v>
      </c>
      <c r="G220" t="s">
        <v>383</v>
      </c>
      <c r="H220">
        <v>1800000</v>
      </c>
      <c r="I220">
        <v>717317</v>
      </c>
      <c r="J220">
        <v>0</v>
      </c>
      <c r="K220" t="s">
        <v>22</v>
      </c>
      <c r="L220">
        <v>3500000</v>
      </c>
      <c r="M220" t="s">
        <v>50</v>
      </c>
      <c r="N220" t="s">
        <v>19</v>
      </c>
      <c r="O220" s="3" t="s">
        <v>371</v>
      </c>
      <c r="P220" s="3">
        <v>58</v>
      </c>
      <c r="Q220" t="s">
        <v>372</v>
      </c>
      <c r="R220" t="s">
        <v>378</v>
      </c>
      <c r="S220">
        <f>IF(Tabla1[[#This Row],[dias_mora]]&gt;30,Tabla1[[#This Row],[saldo_cartera]],0)</f>
        <v>0</v>
      </c>
      <c r="T220">
        <f>Tabla1[[#This Row],[saldo_mora_30]]/Tabla1[[#This Row],[saldo_cartera]]</f>
        <v>0</v>
      </c>
      <c r="U220" t="str">
        <f>VLOOKUP(N220,asesores_ficticio!$A:$C,3,FALSE)</f>
        <v>Bello</v>
      </c>
      <c r="V220" t="str">
        <f t="shared" si="3"/>
        <v>NO</v>
      </c>
    </row>
    <row r="221" spans="1:22" x14ac:dyDescent="0.3">
      <c r="A221" t="s">
        <v>265</v>
      </c>
      <c r="B221" t="s">
        <v>380</v>
      </c>
      <c r="C221" t="s">
        <v>21</v>
      </c>
      <c r="D221" s="1">
        <v>6212291</v>
      </c>
      <c r="E221" s="1">
        <v>-75597868</v>
      </c>
      <c r="F221" s="2">
        <v>45433</v>
      </c>
      <c r="G221" t="s">
        <v>384</v>
      </c>
      <c r="H221">
        <v>1800000</v>
      </c>
      <c r="I221">
        <v>717850</v>
      </c>
      <c r="J221">
        <v>0</v>
      </c>
      <c r="K221" t="s">
        <v>22</v>
      </c>
      <c r="L221">
        <v>1300000</v>
      </c>
      <c r="M221" t="s">
        <v>28</v>
      </c>
      <c r="N221" t="s">
        <v>57</v>
      </c>
      <c r="O221" s="3" t="s">
        <v>370</v>
      </c>
      <c r="P221" s="3">
        <v>56</v>
      </c>
      <c r="Q221" t="s">
        <v>372</v>
      </c>
      <c r="R221" t="s">
        <v>376</v>
      </c>
      <c r="S221">
        <f>IF(Tabla1[[#This Row],[dias_mora]]&gt;30,Tabla1[[#This Row],[saldo_cartera]],0)</f>
        <v>0</v>
      </c>
      <c r="T221">
        <f>Tabla1[[#This Row],[saldo_mora_30]]/Tabla1[[#This Row],[saldo_cartera]]</f>
        <v>0</v>
      </c>
      <c r="U221" t="str">
        <f>VLOOKUP(N221,asesores_ficticio!$A:$C,3,FALSE)</f>
        <v>Pereira</v>
      </c>
      <c r="V221" t="str">
        <f t="shared" si="3"/>
        <v>NO</v>
      </c>
    </row>
    <row r="222" spans="1:22" x14ac:dyDescent="0.3">
      <c r="A222" t="s">
        <v>266</v>
      </c>
      <c r="B222" t="s">
        <v>76</v>
      </c>
      <c r="C222" t="s">
        <v>77</v>
      </c>
      <c r="D222" s="1">
        <v>4849689</v>
      </c>
      <c r="E222" s="1">
        <v>-75729013</v>
      </c>
      <c r="F222" s="2">
        <v>45555</v>
      </c>
      <c r="G222" t="s">
        <v>385</v>
      </c>
      <c r="H222">
        <v>4000000</v>
      </c>
      <c r="I222">
        <v>491203</v>
      </c>
      <c r="J222">
        <v>30</v>
      </c>
      <c r="K222" t="s">
        <v>37</v>
      </c>
      <c r="L222">
        <v>1600000</v>
      </c>
      <c r="M222" t="s">
        <v>23</v>
      </c>
      <c r="N222" t="s">
        <v>61</v>
      </c>
      <c r="O222" s="3" t="s">
        <v>371</v>
      </c>
      <c r="P222" s="3">
        <v>56</v>
      </c>
      <c r="Q222" t="s">
        <v>374</v>
      </c>
      <c r="R222" t="s">
        <v>373</v>
      </c>
      <c r="S222">
        <f>IF(Tabla1[[#This Row],[dias_mora]]&gt;30,Tabla1[[#This Row],[saldo_cartera]],0)</f>
        <v>0</v>
      </c>
      <c r="T222">
        <f>Tabla1[[#This Row],[saldo_mora_30]]/Tabla1[[#This Row],[saldo_cartera]]</f>
        <v>0</v>
      </c>
      <c r="U222" t="str">
        <f>VLOOKUP(N222,asesores_ficticio!$A:$C,3,FALSE)</f>
        <v>Medellín</v>
      </c>
      <c r="V222" t="str">
        <f t="shared" si="3"/>
        <v>NO</v>
      </c>
    </row>
    <row r="223" spans="1:22" x14ac:dyDescent="0.3">
      <c r="A223" t="s">
        <v>267</v>
      </c>
      <c r="B223" t="s">
        <v>26</v>
      </c>
      <c r="C223" t="s">
        <v>21</v>
      </c>
      <c r="D223" s="1">
        <v>6153982</v>
      </c>
      <c r="E223" s="1">
        <v>-75436561</v>
      </c>
      <c r="F223" s="2">
        <v>45813</v>
      </c>
      <c r="G223" t="s">
        <v>383</v>
      </c>
      <c r="H223">
        <v>1800000</v>
      </c>
      <c r="I223">
        <v>1156266</v>
      </c>
      <c r="J223">
        <v>0</v>
      </c>
      <c r="K223" t="s">
        <v>17</v>
      </c>
      <c r="L223">
        <v>900000</v>
      </c>
      <c r="M223" t="s">
        <v>31</v>
      </c>
      <c r="N223" t="s">
        <v>24</v>
      </c>
      <c r="O223" s="3" t="s">
        <v>371</v>
      </c>
      <c r="P223" s="3">
        <v>45</v>
      </c>
      <c r="Q223" t="s">
        <v>377</v>
      </c>
      <c r="R223" t="s">
        <v>376</v>
      </c>
      <c r="S223">
        <f>IF(Tabla1[[#This Row],[dias_mora]]&gt;30,Tabla1[[#This Row],[saldo_cartera]],0)</f>
        <v>0</v>
      </c>
      <c r="T223">
        <f>Tabla1[[#This Row],[saldo_mora_30]]/Tabla1[[#This Row],[saldo_cartera]]</f>
        <v>0</v>
      </c>
      <c r="U223" t="str">
        <f>VLOOKUP(N223,asesores_ficticio!$A:$C,3,FALSE)</f>
        <v>Soacha</v>
      </c>
      <c r="V223" t="str">
        <f t="shared" si="3"/>
        <v>NO</v>
      </c>
    </row>
    <row r="224" spans="1:22" x14ac:dyDescent="0.3">
      <c r="A224" t="s">
        <v>268</v>
      </c>
      <c r="B224" t="s">
        <v>40</v>
      </c>
      <c r="C224" t="s">
        <v>41</v>
      </c>
      <c r="D224" s="1">
        <v>7148571</v>
      </c>
      <c r="E224" s="1">
        <v>-73080664</v>
      </c>
      <c r="F224" s="2">
        <v>45749</v>
      </c>
      <c r="G224" t="s">
        <v>384</v>
      </c>
      <c r="H224">
        <v>6000000</v>
      </c>
      <c r="I224">
        <v>972258</v>
      </c>
      <c r="J224">
        <v>0</v>
      </c>
      <c r="K224" t="s">
        <v>37</v>
      </c>
      <c r="L224">
        <v>900000</v>
      </c>
      <c r="M224" t="s">
        <v>28</v>
      </c>
      <c r="N224" t="s">
        <v>63</v>
      </c>
      <c r="O224" s="3" t="s">
        <v>370</v>
      </c>
      <c r="P224" s="3">
        <v>38</v>
      </c>
      <c r="Q224" t="s">
        <v>372</v>
      </c>
      <c r="R224" t="s">
        <v>376</v>
      </c>
      <c r="S224">
        <f>IF(Tabla1[[#This Row],[dias_mora]]&gt;30,Tabla1[[#This Row],[saldo_cartera]],0)</f>
        <v>0</v>
      </c>
      <c r="T224">
        <f>Tabla1[[#This Row],[saldo_mora_30]]/Tabla1[[#This Row],[saldo_cartera]]</f>
        <v>0</v>
      </c>
      <c r="U224" t="str">
        <f>VLOOKUP(N224,asesores_ficticio!$A:$C,3,FALSE)</f>
        <v>Bogotá</v>
      </c>
      <c r="V224" t="str">
        <f t="shared" si="3"/>
        <v>NO</v>
      </c>
    </row>
    <row r="225" spans="1:22" x14ac:dyDescent="0.3">
      <c r="A225" t="s">
        <v>269</v>
      </c>
      <c r="B225" t="s">
        <v>40</v>
      </c>
      <c r="C225" t="s">
        <v>41</v>
      </c>
      <c r="D225" s="1">
        <v>7162038</v>
      </c>
      <c r="E225" s="1">
        <v>-73134928</v>
      </c>
      <c r="F225" s="2">
        <v>45415</v>
      </c>
      <c r="G225" t="s">
        <v>382</v>
      </c>
      <c r="H225">
        <v>1800000</v>
      </c>
      <c r="I225">
        <v>306115</v>
      </c>
      <c r="J225">
        <v>0</v>
      </c>
      <c r="K225" t="s">
        <v>48</v>
      </c>
      <c r="L225">
        <v>2800000</v>
      </c>
      <c r="M225" t="s">
        <v>28</v>
      </c>
      <c r="N225" t="s">
        <v>29</v>
      </c>
      <c r="O225" s="3" t="s">
        <v>371</v>
      </c>
      <c r="P225" s="3">
        <v>56</v>
      </c>
      <c r="Q225" t="s">
        <v>372</v>
      </c>
      <c r="R225" t="s">
        <v>373</v>
      </c>
      <c r="S225">
        <f>IF(Tabla1[[#This Row],[dias_mora]]&gt;30,Tabla1[[#This Row],[saldo_cartera]],0)</f>
        <v>0</v>
      </c>
      <c r="T225">
        <f>Tabla1[[#This Row],[saldo_mora_30]]/Tabla1[[#This Row],[saldo_cartera]]</f>
        <v>0</v>
      </c>
      <c r="U225" t="str">
        <f>VLOOKUP(N225,asesores_ficticio!$A:$C,3,FALSE)</f>
        <v>Rionegro</v>
      </c>
      <c r="V225" t="str">
        <f t="shared" si="3"/>
        <v>NO</v>
      </c>
    </row>
    <row r="226" spans="1:22" x14ac:dyDescent="0.3">
      <c r="A226" t="s">
        <v>270</v>
      </c>
      <c r="B226" t="s">
        <v>380</v>
      </c>
      <c r="C226" t="s">
        <v>21</v>
      </c>
      <c r="D226" s="1">
        <v>6177722</v>
      </c>
      <c r="E226" s="1">
        <v>-75629683</v>
      </c>
      <c r="F226" s="2">
        <v>45069</v>
      </c>
      <c r="G226" t="s">
        <v>383</v>
      </c>
      <c r="H226">
        <v>4000000</v>
      </c>
      <c r="I226">
        <v>2994962</v>
      </c>
      <c r="J226">
        <v>5</v>
      </c>
      <c r="K226" t="s">
        <v>22</v>
      </c>
      <c r="L226">
        <v>3500000</v>
      </c>
      <c r="M226" t="s">
        <v>50</v>
      </c>
      <c r="N226" t="s">
        <v>29</v>
      </c>
      <c r="O226" s="3" t="s">
        <v>371</v>
      </c>
      <c r="P226" s="3">
        <v>29</v>
      </c>
      <c r="Q226" t="s">
        <v>375</v>
      </c>
      <c r="R226" t="s">
        <v>378</v>
      </c>
      <c r="S226">
        <f>IF(Tabla1[[#This Row],[dias_mora]]&gt;30,Tabla1[[#This Row],[saldo_cartera]],0)</f>
        <v>0</v>
      </c>
      <c r="T226">
        <f>Tabla1[[#This Row],[saldo_mora_30]]/Tabla1[[#This Row],[saldo_cartera]]</f>
        <v>0</v>
      </c>
      <c r="U226" t="str">
        <f>VLOOKUP(N226,asesores_ficticio!$A:$C,3,FALSE)</f>
        <v>Rionegro</v>
      </c>
      <c r="V226" t="str">
        <f t="shared" si="3"/>
        <v>NO</v>
      </c>
    </row>
    <row r="227" spans="1:22" x14ac:dyDescent="0.3">
      <c r="A227" t="s">
        <v>271</v>
      </c>
      <c r="B227" t="s">
        <v>46</v>
      </c>
      <c r="C227" t="s">
        <v>21</v>
      </c>
      <c r="D227" s="1">
        <v>640524</v>
      </c>
      <c r="E227" s="1">
        <v>-75619442</v>
      </c>
      <c r="F227" s="2">
        <v>45323</v>
      </c>
      <c r="G227" t="s">
        <v>385</v>
      </c>
      <c r="H227">
        <v>2500000</v>
      </c>
      <c r="I227">
        <v>1543769</v>
      </c>
      <c r="J227">
        <v>0</v>
      </c>
      <c r="K227" t="s">
        <v>48</v>
      </c>
      <c r="L227">
        <v>3500000</v>
      </c>
      <c r="M227" t="s">
        <v>18</v>
      </c>
      <c r="N227" t="s">
        <v>38</v>
      </c>
      <c r="O227" s="3" t="s">
        <v>371</v>
      </c>
      <c r="P227" s="3">
        <v>49</v>
      </c>
      <c r="Q227" t="s">
        <v>377</v>
      </c>
      <c r="R227" t="s">
        <v>378</v>
      </c>
      <c r="S227">
        <f>IF(Tabla1[[#This Row],[dias_mora]]&gt;30,Tabla1[[#This Row],[saldo_cartera]],0)</f>
        <v>0</v>
      </c>
      <c r="T227">
        <f>Tabla1[[#This Row],[saldo_mora_30]]/Tabla1[[#This Row],[saldo_cartera]]</f>
        <v>0</v>
      </c>
      <c r="U227" t="str">
        <f>VLOOKUP(N227,asesores_ficticio!$A:$C,3,FALSE)</f>
        <v>Barranquilla</v>
      </c>
      <c r="V227" t="str">
        <f t="shared" si="3"/>
        <v>NO</v>
      </c>
    </row>
    <row r="228" spans="1:22" x14ac:dyDescent="0.3">
      <c r="A228" t="s">
        <v>272</v>
      </c>
      <c r="B228" t="s">
        <v>15</v>
      </c>
      <c r="C228" t="s">
        <v>16</v>
      </c>
      <c r="D228" s="1">
        <v>4582981</v>
      </c>
      <c r="E228" s="1">
        <v>-74171322</v>
      </c>
      <c r="F228" s="2">
        <v>45995</v>
      </c>
      <c r="G228" t="s">
        <v>384</v>
      </c>
      <c r="H228">
        <v>4000000</v>
      </c>
      <c r="I228">
        <v>1281440</v>
      </c>
      <c r="J228">
        <v>0</v>
      </c>
      <c r="K228" t="s">
        <v>27</v>
      </c>
      <c r="L228">
        <v>3500000</v>
      </c>
      <c r="M228" t="s">
        <v>31</v>
      </c>
      <c r="N228" t="s">
        <v>63</v>
      </c>
      <c r="O228" s="3" t="s">
        <v>371</v>
      </c>
      <c r="P228" s="3">
        <v>21</v>
      </c>
      <c r="Q228" t="s">
        <v>372</v>
      </c>
      <c r="R228" t="s">
        <v>378</v>
      </c>
      <c r="S228">
        <f>IF(Tabla1[[#This Row],[dias_mora]]&gt;30,Tabla1[[#This Row],[saldo_cartera]],0)</f>
        <v>0</v>
      </c>
      <c r="T228">
        <f>Tabla1[[#This Row],[saldo_mora_30]]/Tabla1[[#This Row],[saldo_cartera]]</f>
        <v>0</v>
      </c>
      <c r="U228" t="str">
        <f>VLOOKUP(N228,asesores_ficticio!$A:$C,3,FALSE)</f>
        <v>Bogotá</v>
      </c>
      <c r="V228" t="str">
        <f t="shared" si="3"/>
        <v>NO</v>
      </c>
    </row>
    <row r="229" spans="1:22" x14ac:dyDescent="0.3">
      <c r="A229" t="s">
        <v>273</v>
      </c>
      <c r="B229" t="s">
        <v>40</v>
      </c>
      <c r="C229" t="s">
        <v>41</v>
      </c>
      <c r="D229" s="1">
        <v>704952</v>
      </c>
      <c r="E229" s="1">
        <v>-73088728</v>
      </c>
      <c r="F229" s="2">
        <v>45673</v>
      </c>
      <c r="G229" t="s">
        <v>385</v>
      </c>
      <c r="H229">
        <v>2500000</v>
      </c>
      <c r="I229">
        <v>1583507</v>
      </c>
      <c r="J229">
        <v>0</v>
      </c>
      <c r="K229" t="s">
        <v>27</v>
      </c>
      <c r="L229">
        <v>2800000</v>
      </c>
      <c r="M229" t="s">
        <v>18</v>
      </c>
      <c r="N229" t="s">
        <v>63</v>
      </c>
      <c r="O229" s="3" t="s">
        <v>370</v>
      </c>
      <c r="P229" s="3">
        <v>47</v>
      </c>
      <c r="Q229" t="s">
        <v>377</v>
      </c>
      <c r="R229" t="s">
        <v>373</v>
      </c>
      <c r="S229">
        <f>IF(Tabla1[[#This Row],[dias_mora]]&gt;30,Tabla1[[#This Row],[saldo_cartera]],0)</f>
        <v>0</v>
      </c>
      <c r="T229">
        <f>Tabla1[[#This Row],[saldo_mora_30]]/Tabla1[[#This Row],[saldo_cartera]]</f>
        <v>0</v>
      </c>
      <c r="U229" t="str">
        <f>VLOOKUP(N229,asesores_ficticio!$A:$C,3,FALSE)</f>
        <v>Bogotá</v>
      </c>
      <c r="V229" t="str">
        <f t="shared" si="3"/>
        <v>NO</v>
      </c>
    </row>
    <row r="230" spans="1:22" x14ac:dyDescent="0.3">
      <c r="A230" t="s">
        <v>274</v>
      </c>
      <c r="B230" t="s">
        <v>46</v>
      </c>
      <c r="C230" t="s">
        <v>21</v>
      </c>
      <c r="D230" s="1">
        <v>6400383</v>
      </c>
      <c r="E230" s="1">
        <v>-75530141</v>
      </c>
      <c r="F230" s="2">
        <v>45018</v>
      </c>
      <c r="G230" t="s">
        <v>383</v>
      </c>
      <c r="H230">
        <v>500000</v>
      </c>
      <c r="I230">
        <v>147072</v>
      </c>
      <c r="J230">
        <v>0</v>
      </c>
      <c r="K230" t="s">
        <v>27</v>
      </c>
      <c r="L230">
        <v>900000</v>
      </c>
      <c r="M230" t="s">
        <v>31</v>
      </c>
      <c r="N230" t="s">
        <v>42</v>
      </c>
      <c r="O230" s="3" t="s">
        <v>371</v>
      </c>
      <c r="P230" s="3">
        <v>54</v>
      </c>
      <c r="Q230" t="s">
        <v>372</v>
      </c>
      <c r="R230" t="s">
        <v>376</v>
      </c>
      <c r="S230">
        <f>IF(Tabla1[[#This Row],[dias_mora]]&gt;30,Tabla1[[#This Row],[saldo_cartera]],0)</f>
        <v>0</v>
      </c>
      <c r="T230">
        <f>Tabla1[[#This Row],[saldo_mora_30]]/Tabla1[[#This Row],[saldo_cartera]]</f>
        <v>0</v>
      </c>
      <c r="U230" t="str">
        <f>VLOOKUP(N230,asesores_ficticio!$A:$C,3,FALSE)</f>
        <v>Itagüí</v>
      </c>
      <c r="V230" t="str">
        <f t="shared" si="3"/>
        <v>NO</v>
      </c>
    </row>
    <row r="231" spans="1:22" x14ac:dyDescent="0.3">
      <c r="A231" t="s">
        <v>275</v>
      </c>
      <c r="B231" t="s">
        <v>380</v>
      </c>
      <c r="C231" t="s">
        <v>21</v>
      </c>
      <c r="D231" s="1">
        <v>6240886</v>
      </c>
      <c r="E231" s="1">
        <v>-75555002</v>
      </c>
      <c r="F231" s="2">
        <v>46123</v>
      </c>
      <c r="G231" t="s">
        <v>385</v>
      </c>
      <c r="H231">
        <v>2500000</v>
      </c>
      <c r="I231">
        <v>1956620</v>
      </c>
      <c r="J231">
        <v>15</v>
      </c>
      <c r="K231" t="s">
        <v>37</v>
      </c>
      <c r="L231">
        <v>3500000</v>
      </c>
      <c r="M231" t="s">
        <v>23</v>
      </c>
      <c r="N231" t="s">
        <v>63</v>
      </c>
      <c r="O231" s="3" t="s">
        <v>370</v>
      </c>
      <c r="P231" s="3">
        <v>37</v>
      </c>
      <c r="Q231" t="s">
        <v>375</v>
      </c>
      <c r="R231" t="s">
        <v>378</v>
      </c>
      <c r="S231">
        <f>IF(Tabla1[[#This Row],[dias_mora]]&gt;30,Tabla1[[#This Row],[saldo_cartera]],0)</f>
        <v>0</v>
      </c>
      <c r="T231">
        <f>Tabla1[[#This Row],[saldo_mora_30]]/Tabla1[[#This Row],[saldo_cartera]]</f>
        <v>0</v>
      </c>
      <c r="U231" t="str">
        <f>VLOOKUP(N231,asesores_ficticio!$A:$C,3,FALSE)</f>
        <v>Bogotá</v>
      </c>
      <c r="V231" t="str">
        <f t="shared" si="3"/>
        <v>NO</v>
      </c>
    </row>
    <row r="232" spans="1:22" x14ac:dyDescent="0.3">
      <c r="A232" t="s">
        <v>276</v>
      </c>
      <c r="B232" t="s">
        <v>46</v>
      </c>
      <c r="C232" t="s">
        <v>21</v>
      </c>
      <c r="D232" s="1">
        <v>6348746</v>
      </c>
      <c r="E232" s="1">
        <v>-75618896</v>
      </c>
      <c r="F232" s="2">
        <v>45110</v>
      </c>
      <c r="G232" t="s">
        <v>383</v>
      </c>
      <c r="H232">
        <v>4000000</v>
      </c>
      <c r="I232">
        <v>3466599</v>
      </c>
      <c r="J232">
        <v>0</v>
      </c>
      <c r="K232" t="s">
        <v>27</v>
      </c>
      <c r="L232">
        <v>2800000</v>
      </c>
      <c r="M232" t="s">
        <v>23</v>
      </c>
      <c r="N232" t="s">
        <v>24</v>
      </c>
      <c r="O232" s="3" t="s">
        <v>370</v>
      </c>
      <c r="P232" s="3">
        <v>35</v>
      </c>
      <c r="Q232" t="s">
        <v>377</v>
      </c>
      <c r="R232" t="s">
        <v>373</v>
      </c>
      <c r="S232">
        <f>IF(Tabla1[[#This Row],[dias_mora]]&gt;30,Tabla1[[#This Row],[saldo_cartera]],0)</f>
        <v>0</v>
      </c>
      <c r="T232">
        <f>Tabla1[[#This Row],[saldo_mora_30]]/Tabla1[[#This Row],[saldo_cartera]]</f>
        <v>0</v>
      </c>
      <c r="U232" t="str">
        <f>VLOOKUP(N232,asesores_ficticio!$A:$C,3,FALSE)</f>
        <v>Soacha</v>
      </c>
      <c r="V232" t="str">
        <f t="shared" si="3"/>
        <v>NO</v>
      </c>
    </row>
    <row r="233" spans="1:22" x14ac:dyDescent="0.3">
      <c r="A233" t="s">
        <v>277</v>
      </c>
      <c r="B233" t="s">
        <v>46</v>
      </c>
      <c r="C233" t="s">
        <v>21</v>
      </c>
      <c r="D233" s="1">
        <v>6345795</v>
      </c>
      <c r="E233" s="1">
        <v>-75636725</v>
      </c>
      <c r="F233" s="2">
        <v>45516</v>
      </c>
      <c r="G233" t="s">
        <v>383</v>
      </c>
      <c r="H233">
        <v>800000</v>
      </c>
      <c r="I233">
        <v>278285</v>
      </c>
      <c r="J233">
        <v>30</v>
      </c>
      <c r="K233" t="s">
        <v>22</v>
      </c>
      <c r="L233">
        <v>3500000</v>
      </c>
      <c r="M233" t="s">
        <v>28</v>
      </c>
      <c r="N233" t="s">
        <v>29</v>
      </c>
      <c r="O233" s="3" t="s">
        <v>370</v>
      </c>
      <c r="P233" s="3">
        <v>45</v>
      </c>
      <c r="Q233" t="s">
        <v>374</v>
      </c>
      <c r="R233" t="s">
        <v>378</v>
      </c>
      <c r="S233">
        <f>IF(Tabla1[[#This Row],[dias_mora]]&gt;30,Tabla1[[#This Row],[saldo_cartera]],0)</f>
        <v>0</v>
      </c>
      <c r="T233">
        <f>Tabla1[[#This Row],[saldo_mora_30]]/Tabla1[[#This Row],[saldo_cartera]]</f>
        <v>0</v>
      </c>
      <c r="U233" t="str">
        <f>VLOOKUP(N233,asesores_ficticio!$A:$C,3,FALSE)</f>
        <v>Rionegro</v>
      </c>
      <c r="V233" t="str">
        <f t="shared" si="3"/>
        <v>NO</v>
      </c>
    </row>
    <row r="234" spans="1:22" x14ac:dyDescent="0.3">
      <c r="A234" t="s">
        <v>278</v>
      </c>
      <c r="B234" t="s">
        <v>380</v>
      </c>
      <c r="C234" t="s">
        <v>21</v>
      </c>
      <c r="D234" s="1">
        <v>609292</v>
      </c>
      <c r="E234" s="1">
        <v>-75626594</v>
      </c>
      <c r="F234" s="2">
        <v>45078</v>
      </c>
      <c r="G234" t="s">
        <v>383</v>
      </c>
      <c r="H234">
        <v>800000</v>
      </c>
      <c r="I234">
        <v>448251</v>
      </c>
      <c r="J234">
        <v>5</v>
      </c>
      <c r="K234" t="s">
        <v>27</v>
      </c>
      <c r="L234">
        <v>3500000</v>
      </c>
      <c r="M234" t="s">
        <v>50</v>
      </c>
      <c r="N234" t="s">
        <v>29</v>
      </c>
      <c r="O234" s="3" t="s">
        <v>371</v>
      </c>
      <c r="P234" s="3">
        <v>41</v>
      </c>
      <c r="Q234" t="s">
        <v>375</v>
      </c>
      <c r="R234" t="s">
        <v>378</v>
      </c>
      <c r="S234">
        <f>IF(Tabla1[[#This Row],[dias_mora]]&gt;30,Tabla1[[#This Row],[saldo_cartera]],0)</f>
        <v>0</v>
      </c>
      <c r="T234">
        <f>Tabla1[[#This Row],[saldo_mora_30]]/Tabla1[[#This Row],[saldo_cartera]]</f>
        <v>0</v>
      </c>
      <c r="U234" t="str">
        <f>VLOOKUP(N234,asesores_ficticio!$A:$C,3,FALSE)</f>
        <v>Rionegro</v>
      </c>
      <c r="V234" t="str">
        <f t="shared" si="3"/>
        <v>NO</v>
      </c>
    </row>
    <row r="235" spans="1:22" x14ac:dyDescent="0.3">
      <c r="A235" t="s">
        <v>279</v>
      </c>
      <c r="B235" t="s">
        <v>40</v>
      </c>
      <c r="C235" t="s">
        <v>41</v>
      </c>
      <c r="D235" s="1">
        <v>7196599</v>
      </c>
      <c r="E235" s="1">
        <v>-73135529</v>
      </c>
      <c r="F235" s="2">
        <v>44934</v>
      </c>
      <c r="G235" t="s">
        <v>383</v>
      </c>
      <c r="H235">
        <v>500000</v>
      </c>
      <c r="I235">
        <v>463338</v>
      </c>
      <c r="J235">
        <v>0</v>
      </c>
      <c r="K235" t="s">
        <v>27</v>
      </c>
      <c r="L235">
        <v>1600000</v>
      </c>
      <c r="M235" t="s">
        <v>31</v>
      </c>
      <c r="N235" t="s">
        <v>19</v>
      </c>
      <c r="O235" s="3" t="s">
        <v>371</v>
      </c>
      <c r="P235" s="3">
        <v>31</v>
      </c>
      <c r="Q235" t="s">
        <v>377</v>
      </c>
      <c r="R235" t="s">
        <v>373</v>
      </c>
      <c r="S235">
        <f>IF(Tabla1[[#This Row],[dias_mora]]&gt;30,Tabla1[[#This Row],[saldo_cartera]],0)</f>
        <v>0</v>
      </c>
      <c r="T235">
        <f>Tabla1[[#This Row],[saldo_mora_30]]/Tabla1[[#This Row],[saldo_cartera]]</f>
        <v>0</v>
      </c>
      <c r="U235" t="str">
        <f>VLOOKUP(N235,asesores_ficticio!$A:$C,3,FALSE)</f>
        <v>Bello</v>
      </c>
      <c r="V235" t="str">
        <f t="shared" si="3"/>
        <v>NO</v>
      </c>
    </row>
    <row r="236" spans="1:22" x14ac:dyDescent="0.3">
      <c r="A236" t="s">
        <v>280</v>
      </c>
      <c r="B236" t="s">
        <v>76</v>
      </c>
      <c r="C236" t="s">
        <v>77</v>
      </c>
      <c r="D236" s="1">
        <v>4749592</v>
      </c>
      <c r="E236" s="1">
        <v>-75753238</v>
      </c>
      <c r="F236" s="2">
        <v>46331</v>
      </c>
      <c r="G236" t="s">
        <v>385</v>
      </c>
      <c r="H236">
        <v>6000000</v>
      </c>
      <c r="I236">
        <v>2611192</v>
      </c>
      <c r="J236">
        <v>0</v>
      </c>
      <c r="K236" t="s">
        <v>27</v>
      </c>
      <c r="L236">
        <v>900000</v>
      </c>
      <c r="M236" t="s">
        <v>23</v>
      </c>
      <c r="N236" t="s">
        <v>24</v>
      </c>
      <c r="O236" s="3" t="s">
        <v>370</v>
      </c>
      <c r="P236" s="3">
        <v>61</v>
      </c>
      <c r="Q236" t="s">
        <v>372</v>
      </c>
      <c r="R236" t="s">
        <v>376</v>
      </c>
      <c r="S236">
        <f>IF(Tabla1[[#This Row],[dias_mora]]&gt;30,Tabla1[[#This Row],[saldo_cartera]],0)</f>
        <v>0</v>
      </c>
      <c r="T236">
        <f>Tabla1[[#This Row],[saldo_mora_30]]/Tabla1[[#This Row],[saldo_cartera]]</f>
        <v>0</v>
      </c>
      <c r="U236" t="str">
        <f>VLOOKUP(N236,asesores_ficticio!$A:$C,3,FALSE)</f>
        <v>Soacha</v>
      </c>
      <c r="V236" t="str">
        <f t="shared" si="3"/>
        <v>NO</v>
      </c>
    </row>
    <row r="237" spans="1:22" x14ac:dyDescent="0.3">
      <c r="A237" t="s">
        <v>281</v>
      </c>
      <c r="B237" t="s">
        <v>70</v>
      </c>
      <c r="C237" t="s">
        <v>71</v>
      </c>
      <c r="D237" s="1">
        <v>3483716</v>
      </c>
      <c r="E237" s="1">
        <v>-76494344</v>
      </c>
      <c r="F237" s="2">
        <v>45569</v>
      </c>
      <c r="G237" t="s">
        <v>385</v>
      </c>
      <c r="H237">
        <v>1200000</v>
      </c>
      <c r="I237">
        <v>581813</v>
      </c>
      <c r="J237">
        <v>0</v>
      </c>
      <c r="K237" t="s">
        <v>48</v>
      </c>
      <c r="L237">
        <v>1300000</v>
      </c>
      <c r="M237" t="s">
        <v>18</v>
      </c>
      <c r="N237" t="s">
        <v>38</v>
      </c>
      <c r="O237" s="3" t="s">
        <v>371</v>
      </c>
      <c r="P237" s="3">
        <v>23</v>
      </c>
      <c r="Q237" t="s">
        <v>372</v>
      </c>
      <c r="R237" t="s">
        <v>376</v>
      </c>
      <c r="S237">
        <f>IF(Tabla1[[#This Row],[dias_mora]]&gt;30,Tabla1[[#This Row],[saldo_cartera]],0)</f>
        <v>0</v>
      </c>
      <c r="T237">
        <f>Tabla1[[#This Row],[saldo_mora_30]]/Tabla1[[#This Row],[saldo_cartera]]</f>
        <v>0</v>
      </c>
      <c r="U237" t="str">
        <f>VLOOKUP(N237,asesores_ficticio!$A:$C,3,FALSE)</f>
        <v>Barranquilla</v>
      </c>
      <c r="V237" t="str">
        <f t="shared" si="3"/>
        <v>NO</v>
      </c>
    </row>
    <row r="238" spans="1:22" x14ac:dyDescent="0.3">
      <c r="A238" t="s">
        <v>282</v>
      </c>
      <c r="B238" t="s">
        <v>34</v>
      </c>
      <c r="C238" t="s">
        <v>386</v>
      </c>
      <c r="D238" s="1">
        <v>10934145</v>
      </c>
      <c r="E238" s="1">
        <v>-74857082</v>
      </c>
      <c r="F238" s="2">
        <v>46170</v>
      </c>
      <c r="G238" t="s">
        <v>384</v>
      </c>
      <c r="H238">
        <v>1200000</v>
      </c>
      <c r="I238">
        <v>1103927</v>
      </c>
      <c r="J238">
        <v>0</v>
      </c>
      <c r="K238" t="s">
        <v>48</v>
      </c>
      <c r="L238">
        <v>1600000</v>
      </c>
      <c r="M238" t="s">
        <v>18</v>
      </c>
      <c r="N238" t="s">
        <v>63</v>
      </c>
      <c r="O238" s="3" t="s">
        <v>371</v>
      </c>
      <c r="P238" s="3">
        <v>61</v>
      </c>
      <c r="Q238" t="s">
        <v>377</v>
      </c>
      <c r="R238" t="s">
        <v>373</v>
      </c>
      <c r="S238">
        <f>IF(Tabla1[[#This Row],[dias_mora]]&gt;30,Tabla1[[#This Row],[saldo_cartera]],0)</f>
        <v>0</v>
      </c>
      <c r="T238">
        <f>Tabla1[[#This Row],[saldo_mora_30]]/Tabla1[[#This Row],[saldo_cartera]]</f>
        <v>0</v>
      </c>
      <c r="U238" t="str">
        <f>VLOOKUP(N238,asesores_ficticio!$A:$C,3,FALSE)</f>
        <v>Bogotá</v>
      </c>
      <c r="V238" t="str">
        <f t="shared" si="3"/>
        <v>NO</v>
      </c>
    </row>
    <row r="239" spans="1:22" x14ac:dyDescent="0.3">
      <c r="A239" t="s">
        <v>283</v>
      </c>
      <c r="B239" t="s">
        <v>76</v>
      </c>
      <c r="C239" t="s">
        <v>77</v>
      </c>
      <c r="D239" s="1">
        <v>4740753</v>
      </c>
      <c r="E239" s="1">
        <v>-75640852</v>
      </c>
      <c r="F239" s="2">
        <v>46267</v>
      </c>
      <c r="G239" t="s">
        <v>382</v>
      </c>
      <c r="H239">
        <v>1200000</v>
      </c>
      <c r="I239">
        <v>271290</v>
      </c>
      <c r="J239">
        <v>15</v>
      </c>
      <c r="K239" t="s">
        <v>27</v>
      </c>
      <c r="L239">
        <v>1600000</v>
      </c>
      <c r="M239" t="s">
        <v>18</v>
      </c>
      <c r="N239" t="s">
        <v>61</v>
      </c>
      <c r="O239" s="3" t="s">
        <v>370</v>
      </c>
      <c r="P239" s="3">
        <v>43</v>
      </c>
      <c r="Q239" t="s">
        <v>375</v>
      </c>
      <c r="R239" t="s">
        <v>373</v>
      </c>
      <c r="S239">
        <f>IF(Tabla1[[#This Row],[dias_mora]]&gt;30,Tabla1[[#This Row],[saldo_cartera]],0)</f>
        <v>0</v>
      </c>
      <c r="T239">
        <f>Tabla1[[#This Row],[saldo_mora_30]]/Tabla1[[#This Row],[saldo_cartera]]</f>
        <v>0</v>
      </c>
      <c r="U239" t="str">
        <f>VLOOKUP(N239,asesores_ficticio!$A:$C,3,FALSE)</f>
        <v>Medellín</v>
      </c>
      <c r="V239" t="str">
        <f t="shared" si="3"/>
        <v>NO</v>
      </c>
    </row>
    <row r="240" spans="1:22" x14ac:dyDescent="0.3">
      <c r="A240" t="s">
        <v>284</v>
      </c>
      <c r="B240" t="s">
        <v>70</v>
      </c>
      <c r="C240" t="s">
        <v>71</v>
      </c>
      <c r="D240" s="1">
        <v>3508336</v>
      </c>
      <c r="E240" s="1">
        <v>-76523047</v>
      </c>
      <c r="F240" s="2">
        <v>44928</v>
      </c>
      <c r="G240" t="s">
        <v>385</v>
      </c>
      <c r="H240">
        <v>2500000</v>
      </c>
      <c r="I240">
        <v>780937</v>
      </c>
      <c r="J240">
        <v>0</v>
      </c>
      <c r="K240" t="s">
        <v>22</v>
      </c>
      <c r="L240">
        <v>1300000</v>
      </c>
      <c r="M240" t="s">
        <v>18</v>
      </c>
      <c r="N240" t="s">
        <v>32</v>
      </c>
      <c r="O240" s="3" t="s">
        <v>371</v>
      </c>
      <c r="P240" s="3">
        <v>48</v>
      </c>
      <c r="Q240" t="s">
        <v>372</v>
      </c>
      <c r="R240" t="s">
        <v>376</v>
      </c>
      <c r="S240">
        <f>IF(Tabla1[[#This Row],[dias_mora]]&gt;30,Tabla1[[#This Row],[saldo_cartera]],0)</f>
        <v>0</v>
      </c>
      <c r="T240">
        <f>Tabla1[[#This Row],[saldo_mora_30]]/Tabla1[[#This Row],[saldo_cartera]]</f>
        <v>0</v>
      </c>
      <c r="U240" t="str">
        <f>VLOOKUP(N240,asesores_ficticio!$A:$C,3,FALSE)</f>
        <v>Cali</v>
      </c>
      <c r="V240" t="str">
        <f t="shared" si="3"/>
        <v>SI</v>
      </c>
    </row>
    <row r="241" spans="1:22" x14ac:dyDescent="0.3">
      <c r="A241" t="s">
        <v>285</v>
      </c>
      <c r="B241" t="s">
        <v>15</v>
      </c>
      <c r="C241" t="s">
        <v>16</v>
      </c>
      <c r="D241" s="1">
        <v>4609106</v>
      </c>
      <c r="E241" s="1">
        <v>-74146588</v>
      </c>
      <c r="F241" s="2">
        <v>44964</v>
      </c>
      <c r="G241" t="s">
        <v>383</v>
      </c>
      <c r="H241">
        <v>500000</v>
      </c>
      <c r="I241">
        <v>297488</v>
      </c>
      <c r="J241">
        <v>0</v>
      </c>
      <c r="K241" t="s">
        <v>22</v>
      </c>
      <c r="L241">
        <v>900000</v>
      </c>
      <c r="M241" t="s">
        <v>50</v>
      </c>
      <c r="N241" t="s">
        <v>24</v>
      </c>
      <c r="O241" s="3" t="s">
        <v>370</v>
      </c>
      <c r="P241" s="3">
        <v>21</v>
      </c>
      <c r="Q241" t="s">
        <v>377</v>
      </c>
      <c r="R241" t="s">
        <v>376</v>
      </c>
      <c r="S241">
        <f>IF(Tabla1[[#This Row],[dias_mora]]&gt;30,Tabla1[[#This Row],[saldo_cartera]],0)</f>
        <v>0</v>
      </c>
      <c r="T241">
        <f>Tabla1[[#This Row],[saldo_mora_30]]/Tabla1[[#This Row],[saldo_cartera]]</f>
        <v>0</v>
      </c>
      <c r="U241" t="str">
        <f>VLOOKUP(N241,asesores_ficticio!$A:$C,3,FALSE)</f>
        <v>Soacha</v>
      </c>
      <c r="V241" t="str">
        <f t="shared" si="3"/>
        <v>SI</v>
      </c>
    </row>
    <row r="242" spans="1:22" x14ac:dyDescent="0.3">
      <c r="A242" t="s">
        <v>286</v>
      </c>
      <c r="B242" t="s">
        <v>46</v>
      </c>
      <c r="C242" t="s">
        <v>21</v>
      </c>
      <c r="D242" s="1">
        <v>6264131</v>
      </c>
      <c r="E242" s="1">
        <v>-75564241</v>
      </c>
      <c r="F242" s="2">
        <v>46235</v>
      </c>
      <c r="G242" t="s">
        <v>383</v>
      </c>
      <c r="H242">
        <v>800000</v>
      </c>
      <c r="I242">
        <v>708410</v>
      </c>
      <c r="J242">
        <v>0</v>
      </c>
      <c r="K242" t="s">
        <v>37</v>
      </c>
      <c r="L242">
        <v>3500000</v>
      </c>
      <c r="M242" t="s">
        <v>18</v>
      </c>
      <c r="N242" t="s">
        <v>24</v>
      </c>
      <c r="O242" s="3" t="s">
        <v>370</v>
      </c>
      <c r="P242" s="3">
        <v>55</v>
      </c>
      <c r="Q242" t="s">
        <v>377</v>
      </c>
      <c r="R242" t="s">
        <v>378</v>
      </c>
      <c r="S242">
        <f>IF(Tabla1[[#This Row],[dias_mora]]&gt;30,Tabla1[[#This Row],[saldo_cartera]],0)</f>
        <v>0</v>
      </c>
      <c r="T242">
        <f>Tabla1[[#This Row],[saldo_mora_30]]/Tabla1[[#This Row],[saldo_cartera]]</f>
        <v>0</v>
      </c>
      <c r="U242" t="str">
        <f>VLOOKUP(N242,asesores_ficticio!$A:$C,3,FALSE)</f>
        <v>Soacha</v>
      </c>
      <c r="V242" t="str">
        <f t="shared" si="3"/>
        <v>NO</v>
      </c>
    </row>
    <row r="243" spans="1:22" x14ac:dyDescent="0.3">
      <c r="A243" t="s">
        <v>287</v>
      </c>
      <c r="B243" t="s">
        <v>26</v>
      </c>
      <c r="C243" t="s">
        <v>21</v>
      </c>
      <c r="D243" s="1">
        <v>6220129</v>
      </c>
      <c r="E243" s="1">
        <v>-75410603</v>
      </c>
      <c r="F243" s="2">
        <v>45606</v>
      </c>
      <c r="G243" t="s">
        <v>383</v>
      </c>
      <c r="H243">
        <v>1800000</v>
      </c>
      <c r="I243">
        <v>1531638</v>
      </c>
      <c r="J243">
        <v>0</v>
      </c>
      <c r="K243" t="s">
        <v>37</v>
      </c>
      <c r="L243">
        <v>2800000</v>
      </c>
      <c r="M243" t="s">
        <v>28</v>
      </c>
      <c r="N243" t="s">
        <v>38</v>
      </c>
      <c r="O243" s="3" t="s">
        <v>371</v>
      </c>
      <c r="P243" s="3">
        <v>47</v>
      </c>
      <c r="Q243" t="s">
        <v>377</v>
      </c>
      <c r="R243" t="s">
        <v>373</v>
      </c>
      <c r="S243">
        <f>IF(Tabla1[[#This Row],[dias_mora]]&gt;30,Tabla1[[#This Row],[saldo_cartera]],0)</f>
        <v>0</v>
      </c>
      <c r="T243">
        <f>Tabla1[[#This Row],[saldo_mora_30]]/Tabla1[[#This Row],[saldo_cartera]]</f>
        <v>0</v>
      </c>
      <c r="U243" t="str">
        <f>VLOOKUP(N243,asesores_ficticio!$A:$C,3,FALSE)</f>
        <v>Barranquilla</v>
      </c>
      <c r="V243" t="str">
        <f t="shared" si="3"/>
        <v>NO</v>
      </c>
    </row>
    <row r="244" spans="1:22" x14ac:dyDescent="0.3">
      <c r="A244" t="s">
        <v>288</v>
      </c>
      <c r="B244" t="s">
        <v>379</v>
      </c>
      <c r="C244" t="s">
        <v>21</v>
      </c>
      <c r="D244" s="1">
        <v>6178235</v>
      </c>
      <c r="E244" s="1">
        <v>-75599918</v>
      </c>
      <c r="F244" s="2">
        <v>45622</v>
      </c>
      <c r="G244" t="s">
        <v>384</v>
      </c>
      <c r="H244">
        <v>1800000</v>
      </c>
      <c r="I244">
        <v>485170</v>
      </c>
      <c r="J244">
        <v>45</v>
      </c>
      <c r="K244" t="s">
        <v>37</v>
      </c>
      <c r="L244">
        <v>2800000</v>
      </c>
      <c r="M244" t="s">
        <v>23</v>
      </c>
      <c r="N244" t="s">
        <v>38</v>
      </c>
      <c r="O244" s="3" t="s">
        <v>371</v>
      </c>
      <c r="P244" s="3">
        <v>50</v>
      </c>
      <c r="Q244" t="s">
        <v>374</v>
      </c>
      <c r="R244" t="s">
        <v>373</v>
      </c>
      <c r="S244">
        <f>IF(Tabla1[[#This Row],[dias_mora]]&gt;30,Tabla1[[#This Row],[saldo_cartera]],0)</f>
        <v>485170</v>
      </c>
      <c r="T244">
        <f>Tabla1[[#This Row],[saldo_mora_30]]/Tabla1[[#This Row],[saldo_cartera]]</f>
        <v>1</v>
      </c>
      <c r="U244" t="str">
        <f>VLOOKUP(N244,asesores_ficticio!$A:$C,3,FALSE)</f>
        <v>Barranquilla</v>
      </c>
      <c r="V244" t="str">
        <f t="shared" si="3"/>
        <v>NO</v>
      </c>
    </row>
    <row r="245" spans="1:22" x14ac:dyDescent="0.3">
      <c r="A245" t="s">
        <v>289</v>
      </c>
      <c r="B245" t="s">
        <v>40</v>
      </c>
      <c r="C245" t="s">
        <v>41</v>
      </c>
      <c r="D245" s="1">
        <v>716433</v>
      </c>
      <c r="E245" s="1">
        <v>-73147655</v>
      </c>
      <c r="F245" s="2">
        <v>45097</v>
      </c>
      <c r="G245" t="s">
        <v>385</v>
      </c>
      <c r="H245">
        <v>2500000</v>
      </c>
      <c r="I245">
        <v>1317586</v>
      </c>
      <c r="J245">
        <v>0</v>
      </c>
      <c r="K245" t="s">
        <v>48</v>
      </c>
      <c r="L245">
        <v>1300000</v>
      </c>
      <c r="M245" t="s">
        <v>23</v>
      </c>
      <c r="N245" t="s">
        <v>61</v>
      </c>
      <c r="O245" s="3" t="s">
        <v>371</v>
      </c>
      <c r="P245" s="3">
        <v>60</v>
      </c>
      <c r="Q245" t="s">
        <v>377</v>
      </c>
      <c r="R245" t="s">
        <v>376</v>
      </c>
      <c r="S245">
        <f>IF(Tabla1[[#This Row],[dias_mora]]&gt;30,Tabla1[[#This Row],[saldo_cartera]],0)</f>
        <v>0</v>
      </c>
      <c r="T245">
        <f>Tabla1[[#This Row],[saldo_mora_30]]/Tabla1[[#This Row],[saldo_cartera]]</f>
        <v>0</v>
      </c>
      <c r="U245" t="str">
        <f>VLOOKUP(N245,asesores_ficticio!$A:$C,3,FALSE)</f>
        <v>Medellín</v>
      </c>
      <c r="V245" t="str">
        <f t="shared" si="3"/>
        <v>NO</v>
      </c>
    </row>
    <row r="246" spans="1:22" x14ac:dyDescent="0.3">
      <c r="A246" t="s">
        <v>290</v>
      </c>
      <c r="B246" t="s">
        <v>34</v>
      </c>
      <c r="C246" t="s">
        <v>386</v>
      </c>
      <c r="D246" s="1">
        <v>10968609</v>
      </c>
      <c r="E246" s="1">
        <v>-74753705</v>
      </c>
      <c r="F246" s="2">
        <v>45430</v>
      </c>
      <c r="G246" t="s">
        <v>384</v>
      </c>
      <c r="H246">
        <v>800000</v>
      </c>
      <c r="I246">
        <v>742306</v>
      </c>
      <c r="J246">
        <v>0</v>
      </c>
      <c r="K246" t="s">
        <v>22</v>
      </c>
      <c r="L246">
        <v>3500000</v>
      </c>
      <c r="M246" t="s">
        <v>28</v>
      </c>
      <c r="N246" t="s">
        <v>32</v>
      </c>
      <c r="O246" s="3" t="s">
        <v>371</v>
      </c>
      <c r="P246" s="3">
        <v>58</v>
      </c>
      <c r="Q246" t="s">
        <v>377</v>
      </c>
      <c r="R246" t="s">
        <v>378</v>
      </c>
      <c r="S246">
        <f>IF(Tabla1[[#This Row],[dias_mora]]&gt;30,Tabla1[[#This Row],[saldo_cartera]],0)</f>
        <v>0</v>
      </c>
      <c r="T246">
        <f>Tabla1[[#This Row],[saldo_mora_30]]/Tabla1[[#This Row],[saldo_cartera]]</f>
        <v>0</v>
      </c>
      <c r="U246" t="str">
        <f>VLOOKUP(N246,asesores_ficticio!$A:$C,3,FALSE)</f>
        <v>Cali</v>
      </c>
      <c r="V246" t="str">
        <f t="shared" si="3"/>
        <v>NO</v>
      </c>
    </row>
    <row r="247" spans="1:22" x14ac:dyDescent="0.3">
      <c r="A247" t="s">
        <v>291</v>
      </c>
      <c r="B247" t="s">
        <v>15</v>
      </c>
      <c r="C247" t="s">
        <v>16</v>
      </c>
      <c r="D247" s="1">
        <v>4648933</v>
      </c>
      <c r="E247" s="1">
        <v>-74137953</v>
      </c>
      <c r="F247" s="2">
        <v>45931</v>
      </c>
      <c r="G247" t="s">
        <v>382</v>
      </c>
      <c r="H247">
        <v>800000</v>
      </c>
      <c r="I247">
        <v>199748</v>
      </c>
      <c r="J247">
        <v>0</v>
      </c>
      <c r="K247" t="s">
        <v>17</v>
      </c>
      <c r="L247">
        <v>3500000</v>
      </c>
      <c r="M247" t="s">
        <v>28</v>
      </c>
      <c r="N247" t="s">
        <v>42</v>
      </c>
      <c r="O247" s="3" t="s">
        <v>370</v>
      </c>
      <c r="P247" s="3">
        <v>34</v>
      </c>
      <c r="Q247" t="s">
        <v>372</v>
      </c>
      <c r="R247" t="s">
        <v>378</v>
      </c>
      <c r="S247">
        <f>IF(Tabla1[[#This Row],[dias_mora]]&gt;30,Tabla1[[#This Row],[saldo_cartera]],0)</f>
        <v>0</v>
      </c>
      <c r="T247">
        <f>Tabla1[[#This Row],[saldo_mora_30]]/Tabla1[[#This Row],[saldo_cartera]]</f>
        <v>0</v>
      </c>
      <c r="U247" t="str">
        <f>VLOOKUP(N247,asesores_ficticio!$A:$C,3,FALSE)</f>
        <v>Itagüí</v>
      </c>
      <c r="V247" t="str">
        <f t="shared" si="3"/>
        <v>NO</v>
      </c>
    </row>
    <row r="248" spans="1:22" x14ac:dyDescent="0.3">
      <c r="A248" t="s">
        <v>292</v>
      </c>
      <c r="B248" t="s">
        <v>76</v>
      </c>
      <c r="C248" t="s">
        <v>77</v>
      </c>
      <c r="D248" s="1">
        <v>4886039</v>
      </c>
      <c r="E248" s="1">
        <v>-75640729</v>
      </c>
      <c r="F248" s="2">
        <v>45506</v>
      </c>
      <c r="G248" t="s">
        <v>384</v>
      </c>
      <c r="H248">
        <v>6000000</v>
      </c>
      <c r="I248">
        <v>5096294</v>
      </c>
      <c r="J248">
        <v>0</v>
      </c>
      <c r="K248" t="s">
        <v>48</v>
      </c>
      <c r="L248">
        <v>1600000</v>
      </c>
      <c r="M248" t="s">
        <v>18</v>
      </c>
      <c r="N248" t="s">
        <v>57</v>
      </c>
      <c r="O248" s="3" t="s">
        <v>370</v>
      </c>
      <c r="P248" s="3">
        <v>42</v>
      </c>
      <c r="Q248" t="s">
        <v>377</v>
      </c>
      <c r="R248" t="s">
        <v>373</v>
      </c>
      <c r="S248">
        <f>IF(Tabla1[[#This Row],[dias_mora]]&gt;30,Tabla1[[#This Row],[saldo_cartera]],0)</f>
        <v>0</v>
      </c>
      <c r="T248">
        <f>Tabla1[[#This Row],[saldo_mora_30]]/Tabla1[[#This Row],[saldo_cartera]]</f>
        <v>0</v>
      </c>
      <c r="U248" t="str">
        <f>VLOOKUP(N248,asesores_ficticio!$A:$C,3,FALSE)</f>
        <v>Pereira</v>
      </c>
      <c r="V248" t="str">
        <f t="shared" si="3"/>
        <v>SI</v>
      </c>
    </row>
    <row r="249" spans="1:22" x14ac:dyDescent="0.3">
      <c r="A249" t="s">
        <v>293</v>
      </c>
      <c r="B249" t="s">
        <v>26</v>
      </c>
      <c r="C249" t="s">
        <v>21</v>
      </c>
      <c r="D249" s="1">
        <v>6077988</v>
      </c>
      <c r="E249" s="1">
        <v>-75378122</v>
      </c>
      <c r="F249" s="2">
        <v>45997</v>
      </c>
      <c r="G249" t="s">
        <v>382</v>
      </c>
      <c r="H249">
        <v>1200000</v>
      </c>
      <c r="I249">
        <v>1056254</v>
      </c>
      <c r="J249">
        <v>0</v>
      </c>
      <c r="K249" t="s">
        <v>48</v>
      </c>
      <c r="L249">
        <v>1300000</v>
      </c>
      <c r="M249" t="s">
        <v>50</v>
      </c>
      <c r="N249" t="s">
        <v>42</v>
      </c>
      <c r="O249" s="3" t="s">
        <v>370</v>
      </c>
      <c r="P249" s="3">
        <v>38</v>
      </c>
      <c r="Q249" t="s">
        <v>377</v>
      </c>
      <c r="R249" t="s">
        <v>376</v>
      </c>
      <c r="S249">
        <f>IF(Tabla1[[#This Row],[dias_mora]]&gt;30,Tabla1[[#This Row],[saldo_cartera]],0)</f>
        <v>0</v>
      </c>
      <c r="T249">
        <f>Tabla1[[#This Row],[saldo_mora_30]]/Tabla1[[#This Row],[saldo_cartera]]</f>
        <v>0</v>
      </c>
      <c r="U249" t="str">
        <f>VLOOKUP(N249,asesores_ficticio!$A:$C,3,FALSE)</f>
        <v>Itagüí</v>
      </c>
      <c r="V249" t="str">
        <f t="shared" si="3"/>
        <v>NO</v>
      </c>
    </row>
    <row r="250" spans="1:22" x14ac:dyDescent="0.3">
      <c r="A250" t="s">
        <v>294</v>
      </c>
      <c r="B250" t="s">
        <v>76</v>
      </c>
      <c r="C250" t="s">
        <v>77</v>
      </c>
      <c r="D250" s="1">
        <v>4847051</v>
      </c>
      <c r="E250" s="1">
        <v>-75751936</v>
      </c>
      <c r="F250" s="2">
        <v>46013</v>
      </c>
      <c r="G250" t="s">
        <v>383</v>
      </c>
      <c r="H250">
        <v>500000</v>
      </c>
      <c r="I250">
        <v>409754</v>
      </c>
      <c r="J250">
        <v>45</v>
      </c>
      <c r="K250" t="s">
        <v>17</v>
      </c>
      <c r="L250">
        <v>900000</v>
      </c>
      <c r="M250" t="s">
        <v>50</v>
      </c>
      <c r="N250" t="s">
        <v>24</v>
      </c>
      <c r="O250" s="3" t="s">
        <v>370</v>
      </c>
      <c r="P250" s="3">
        <v>33</v>
      </c>
      <c r="Q250" t="s">
        <v>374</v>
      </c>
      <c r="R250" t="s">
        <v>376</v>
      </c>
      <c r="S250">
        <f>IF(Tabla1[[#This Row],[dias_mora]]&gt;30,Tabla1[[#This Row],[saldo_cartera]],0)</f>
        <v>409754</v>
      </c>
      <c r="T250">
        <f>Tabla1[[#This Row],[saldo_mora_30]]/Tabla1[[#This Row],[saldo_cartera]]</f>
        <v>1</v>
      </c>
      <c r="U250" t="str">
        <f>VLOOKUP(N250,asesores_ficticio!$A:$C,3,FALSE)</f>
        <v>Soacha</v>
      </c>
      <c r="V250" t="str">
        <f t="shared" si="3"/>
        <v>NO</v>
      </c>
    </row>
    <row r="251" spans="1:22" x14ac:dyDescent="0.3">
      <c r="A251" t="s">
        <v>295</v>
      </c>
      <c r="B251" t="s">
        <v>381</v>
      </c>
      <c r="C251" t="s">
        <v>16</v>
      </c>
      <c r="D251" s="1">
        <v>4682617</v>
      </c>
      <c r="E251" s="1">
        <v>-73995962</v>
      </c>
      <c r="F251" s="2">
        <v>45739</v>
      </c>
      <c r="G251" t="s">
        <v>382</v>
      </c>
      <c r="H251">
        <v>4000000</v>
      </c>
      <c r="I251">
        <v>3625558</v>
      </c>
      <c r="J251">
        <v>30</v>
      </c>
      <c r="K251" t="s">
        <v>22</v>
      </c>
      <c r="L251">
        <v>2000000</v>
      </c>
      <c r="M251" t="s">
        <v>28</v>
      </c>
      <c r="N251" t="s">
        <v>42</v>
      </c>
      <c r="O251" s="3" t="s">
        <v>370</v>
      </c>
      <c r="P251" s="3">
        <v>40</v>
      </c>
      <c r="Q251" t="s">
        <v>374</v>
      </c>
      <c r="R251" t="s">
        <v>373</v>
      </c>
      <c r="S251">
        <f>IF(Tabla1[[#This Row],[dias_mora]]&gt;30,Tabla1[[#This Row],[saldo_cartera]],0)</f>
        <v>0</v>
      </c>
      <c r="T251">
        <f>Tabla1[[#This Row],[saldo_mora_30]]/Tabla1[[#This Row],[saldo_cartera]]</f>
        <v>0</v>
      </c>
      <c r="U251" t="str">
        <f>VLOOKUP(N251,asesores_ficticio!$A:$C,3,FALSE)</f>
        <v>Itagüí</v>
      </c>
      <c r="V251" t="str">
        <f t="shared" si="3"/>
        <v>NO</v>
      </c>
    </row>
    <row r="252" spans="1:22" x14ac:dyDescent="0.3">
      <c r="A252" t="s">
        <v>296</v>
      </c>
      <c r="B252" t="s">
        <v>70</v>
      </c>
      <c r="C252" t="s">
        <v>71</v>
      </c>
      <c r="D252" s="1">
        <v>3420692</v>
      </c>
      <c r="E252" s="1">
        <v>-7650184</v>
      </c>
      <c r="F252" s="2">
        <v>46297</v>
      </c>
      <c r="G252" t="s">
        <v>385</v>
      </c>
      <c r="H252">
        <v>800000</v>
      </c>
      <c r="I252">
        <v>200842</v>
      </c>
      <c r="J252">
        <v>0</v>
      </c>
      <c r="K252" t="s">
        <v>17</v>
      </c>
      <c r="L252">
        <v>3500000</v>
      </c>
      <c r="M252" t="s">
        <v>23</v>
      </c>
      <c r="N252" t="s">
        <v>57</v>
      </c>
      <c r="O252" s="3" t="s">
        <v>371</v>
      </c>
      <c r="P252" s="3">
        <v>38</v>
      </c>
      <c r="Q252" t="s">
        <v>372</v>
      </c>
      <c r="R252" t="s">
        <v>378</v>
      </c>
      <c r="S252">
        <f>IF(Tabla1[[#This Row],[dias_mora]]&gt;30,Tabla1[[#This Row],[saldo_cartera]],0)</f>
        <v>0</v>
      </c>
      <c r="T252">
        <f>Tabla1[[#This Row],[saldo_mora_30]]/Tabla1[[#This Row],[saldo_cartera]]</f>
        <v>0</v>
      </c>
      <c r="U252" t="str">
        <f>VLOOKUP(N252,asesores_ficticio!$A:$C,3,FALSE)</f>
        <v>Pereira</v>
      </c>
      <c r="V252" t="str">
        <f t="shared" si="3"/>
        <v>NO</v>
      </c>
    </row>
    <row r="253" spans="1:22" x14ac:dyDescent="0.3">
      <c r="A253" t="s">
        <v>297</v>
      </c>
      <c r="B253" t="s">
        <v>26</v>
      </c>
      <c r="C253" t="s">
        <v>21</v>
      </c>
      <c r="D253" s="1">
        <v>6177143</v>
      </c>
      <c r="E253" s="1">
        <v>-75437942</v>
      </c>
      <c r="F253" s="2">
        <v>45814</v>
      </c>
      <c r="G253" t="s">
        <v>384</v>
      </c>
      <c r="H253">
        <v>1800000</v>
      </c>
      <c r="I253">
        <v>395184</v>
      </c>
      <c r="J253">
        <v>15</v>
      </c>
      <c r="K253" t="s">
        <v>27</v>
      </c>
      <c r="L253">
        <v>1300000</v>
      </c>
      <c r="M253" t="s">
        <v>31</v>
      </c>
      <c r="N253" t="s">
        <v>61</v>
      </c>
      <c r="O253" s="3" t="s">
        <v>370</v>
      </c>
      <c r="P253" s="3">
        <v>53</v>
      </c>
      <c r="Q253" t="s">
        <v>375</v>
      </c>
      <c r="R253" t="s">
        <v>376</v>
      </c>
      <c r="S253">
        <f>IF(Tabla1[[#This Row],[dias_mora]]&gt;30,Tabla1[[#This Row],[saldo_cartera]],0)</f>
        <v>0</v>
      </c>
      <c r="T253">
        <f>Tabla1[[#This Row],[saldo_mora_30]]/Tabla1[[#This Row],[saldo_cartera]]</f>
        <v>0</v>
      </c>
      <c r="U253" t="str">
        <f>VLOOKUP(N253,asesores_ficticio!$A:$C,3,FALSE)</f>
        <v>Medellín</v>
      </c>
      <c r="V253" t="str">
        <f t="shared" si="3"/>
        <v>NO</v>
      </c>
    </row>
    <row r="254" spans="1:22" x14ac:dyDescent="0.3">
      <c r="A254" t="s">
        <v>298</v>
      </c>
      <c r="B254" t="s">
        <v>381</v>
      </c>
      <c r="C254" t="s">
        <v>16</v>
      </c>
      <c r="D254" s="1">
        <v>4664549</v>
      </c>
      <c r="E254" s="1">
        <v>-74041192</v>
      </c>
      <c r="F254" s="2">
        <v>45122</v>
      </c>
      <c r="G254" t="s">
        <v>383</v>
      </c>
      <c r="H254">
        <v>1200000</v>
      </c>
      <c r="I254">
        <v>381791</v>
      </c>
      <c r="J254">
        <v>0</v>
      </c>
      <c r="K254" t="s">
        <v>22</v>
      </c>
      <c r="L254">
        <v>900000</v>
      </c>
      <c r="M254" t="s">
        <v>31</v>
      </c>
      <c r="N254" t="s">
        <v>38</v>
      </c>
      <c r="O254" s="3" t="s">
        <v>371</v>
      </c>
      <c r="P254" s="3">
        <v>36</v>
      </c>
      <c r="Q254" t="s">
        <v>372</v>
      </c>
      <c r="R254" t="s">
        <v>376</v>
      </c>
      <c r="S254">
        <f>IF(Tabla1[[#This Row],[dias_mora]]&gt;30,Tabla1[[#This Row],[saldo_cartera]],0)</f>
        <v>0</v>
      </c>
      <c r="T254">
        <f>Tabla1[[#This Row],[saldo_mora_30]]/Tabla1[[#This Row],[saldo_cartera]]</f>
        <v>0</v>
      </c>
      <c r="U254" t="str">
        <f>VLOOKUP(N254,asesores_ficticio!$A:$C,3,FALSE)</f>
        <v>Barranquilla</v>
      </c>
      <c r="V254" t="str">
        <f t="shared" si="3"/>
        <v>NO</v>
      </c>
    </row>
    <row r="255" spans="1:22" x14ac:dyDescent="0.3">
      <c r="A255" t="s">
        <v>299</v>
      </c>
      <c r="B255" t="s">
        <v>70</v>
      </c>
      <c r="C255" t="s">
        <v>71</v>
      </c>
      <c r="D255" s="1">
        <v>3427797</v>
      </c>
      <c r="E255" s="1">
        <v>-76551944</v>
      </c>
      <c r="F255" s="2">
        <v>45366</v>
      </c>
      <c r="G255" t="s">
        <v>384</v>
      </c>
      <c r="H255">
        <v>6000000</v>
      </c>
      <c r="I255">
        <v>3045395</v>
      </c>
      <c r="J255">
        <v>45</v>
      </c>
      <c r="K255" t="s">
        <v>48</v>
      </c>
      <c r="L255">
        <v>3500000</v>
      </c>
      <c r="M255" t="s">
        <v>23</v>
      </c>
      <c r="N255" t="s">
        <v>61</v>
      </c>
      <c r="O255" s="3" t="s">
        <v>370</v>
      </c>
      <c r="P255" s="3">
        <v>32</v>
      </c>
      <c r="Q255" t="s">
        <v>374</v>
      </c>
      <c r="R255" t="s">
        <v>378</v>
      </c>
      <c r="S255">
        <f>IF(Tabla1[[#This Row],[dias_mora]]&gt;30,Tabla1[[#This Row],[saldo_cartera]],0)</f>
        <v>3045395</v>
      </c>
      <c r="T255">
        <f>Tabla1[[#This Row],[saldo_mora_30]]/Tabla1[[#This Row],[saldo_cartera]]</f>
        <v>1</v>
      </c>
      <c r="U255" t="str">
        <f>VLOOKUP(N255,asesores_ficticio!$A:$C,3,FALSE)</f>
        <v>Medellín</v>
      </c>
      <c r="V255" t="str">
        <f t="shared" si="3"/>
        <v>NO</v>
      </c>
    </row>
    <row r="256" spans="1:22" x14ac:dyDescent="0.3">
      <c r="A256" t="s">
        <v>300</v>
      </c>
      <c r="B256" t="s">
        <v>15</v>
      </c>
      <c r="C256" t="s">
        <v>16</v>
      </c>
      <c r="D256" s="1">
        <v>454108</v>
      </c>
      <c r="E256" s="1">
        <v>-74279844</v>
      </c>
      <c r="F256" s="2">
        <v>45172</v>
      </c>
      <c r="G256" t="s">
        <v>382</v>
      </c>
      <c r="H256">
        <v>1200000</v>
      </c>
      <c r="I256">
        <v>293507</v>
      </c>
      <c r="J256">
        <v>0</v>
      </c>
      <c r="K256" t="s">
        <v>17</v>
      </c>
      <c r="L256">
        <v>3500000</v>
      </c>
      <c r="M256" t="s">
        <v>28</v>
      </c>
      <c r="N256" t="s">
        <v>38</v>
      </c>
      <c r="O256" s="3" t="s">
        <v>370</v>
      </c>
      <c r="P256" s="3">
        <v>61</v>
      </c>
      <c r="Q256" t="s">
        <v>372</v>
      </c>
      <c r="R256" t="s">
        <v>378</v>
      </c>
      <c r="S256">
        <f>IF(Tabla1[[#This Row],[dias_mora]]&gt;30,Tabla1[[#This Row],[saldo_cartera]],0)</f>
        <v>0</v>
      </c>
      <c r="T256">
        <f>Tabla1[[#This Row],[saldo_mora_30]]/Tabla1[[#This Row],[saldo_cartera]]</f>
        <v>0</v>
      </c>
      <c r="U256" t="str">
        <f>VLOOKUP(N256,asesores_ficticio!$A:$C,3,FALSE)</f>
        <v>Barranquilla</v>
      </c>
      <c r="V256" t="str">
        <f t="shared" si="3"/>
        <v>NO</v>
      </c>
    </row>
    <row r="257" spans="1:22" x14ac:dyDescent="0.3">
      <c r="A257" t="s">
        <v>301</v>
      </c>
      <c r="B257" t="s">
        <v>379</v>
      </c>
      <c r="C257" t="s">
        <v>21</v>
      </c>
      <c r="D257" s="1">
        <v>6233212</v>
      </c>
      <c r="E257" s="1">
        <v>-75556618</v>
      </c>
      <c r="F257" s="2">
        <v>45754</v>
      </c>
      <c r="G257" t="s">
        <v>383</v>
      </c>
      <c r="H257">
        <v>2500000</v>
      </c>
      <c r="I257">
        <v>2140726</v>
      </c>
      <c r="J257">
        <v>0</v>
      </c>
      <c r="K257" t="s">
        <v>17</v>
      </c>
      <c r="L257">
        <v>900000</v>
      </c>
      <c r="M257" t="s">
        <v>28</v>
      </c>
      <c r="N257" t="s">
        <v>63</v>
      </c>
      <c r="O257" s="3" t="s">
        <v>370</v>
      </c>
      <c r="P257" s="3">
        <v>25</v>
      </c>
      <c r="Q257" t="s">
        <v>377</v>
      </c>
      <c r="R257" t="s">
        <v>376</v>
      </c>
      <c r="S257">
        <f>IF(Tabla1[[#This Row],[dias_mora]]&gt;30,Tabla1[[#This Row],[saldo_cartera]],0)</f>
        <v>0</v>
      </c>
      <c r="T257">
        <f>Tabla1[[#This Row],[saldo_mora_30]]/Tabla1[[#This Row],[saldo_cartera]]</f>
        <v>0</v>
      </c>
      <c r="U257" t="str">
        <f>VLOOKUP(N257,asesores_ficticio!$A:$C,3,FALSE)</f>
        <v>Bogotá</v>
      </c>
      <c r="V257" t="str">
        <f t="shared" si="3"/>
        <v>NO</v>
      </c>
    </row>
    <row r="258" spans="1:22" x14ac:dyDescent="0.3">
      <c r="A258" t="s">
        <v>302</v>
      </c>
      <c r="B258" t="s">
        <v>381</v>
      </c>
      <c r="C258" t="s">
        <v>16</v>
      </c>
      <c r="D258" s="1">
        <v>4678584</v>
      </c>
      <c r="E258" s="1">
        <v>-74136753</v>
      </c>
      <c r="F258" s="2">
        <v>45078</v>
      </c>
      <c r="G258" t="s">
        <v>383</v>
      </c>
      <c r="H258">
        <v>1800000</v>
      </c>
      <c r="I258">
        <v>1054808</v>
      </c>
      <c r="J258">
        <v>30</v>
      </c>
      <c r="K258" t="s">
        <v>48</v>
      </c>
      <c r="L258">
        <v>1300000</v>
      </c>
      <c r="M258" t="s">
        <v>23</v>
      </c>
      <c r="N258" t="s">
        <v>57</v>
      </c>
      <c r="O258" s="3" t="s">
        <v>371</v>
      </c>
      <c r="P258" s="3">
        <v>27</v>
      </c>
      <c r="Q258" t="s">
        <v>374</v>
      </c>
      <c r="R258" t="s">
        <v>376</v>
      </c>
      <c r="S258">
        <f>IF(Tabla1[[#This Row],[dias_mora]]&gt;30,Tabla1[[#This Row],[saldo_cartera]],0)</f>
        <v>0</v>
      </c>
      <c r="T258">
        <f>Tabla1[[#This Row],[saldo_mora_30]]/Tabla1[[#This Row],[saldo_cartera]]</f>
        <v>0</v>
      </c>
      <c r="U258" t="str">
        <f>VLOOKUP(N258,asesores_ficticio!$A:$C,3,FALSE)</f>
        <v>Pereira</v>
      </c>
      <c r="V258" t="str">
        <f t="shared" ref="V258:V321" si="4">IF(B258=U258,"SI","NO")</f>
        <v>NO</v>
      </c>
    </row>
    <row r="259" spans="1:22" x14ac:dyDescent="0.3">
      <c r="A259" t="s">
        <v>303</v>
      </c>
      <c r="B259" t="s">
        <v>34</v>
      </c>
      <c r="C259" t="s">
        <v>386</v>
      </c>
      <c r="D259" s="1">
        <v>10915848</v>
      </c>
      <c r="E259" s="1">
        <v>-74872282</v>
      </c>
      <c r="F259" s="2">
        <v>45072</v>
      </c>
      <c r="G259" t="s">
        <v>383</v>
      </c>
      <c r="H259">
        <v>800000</v>
      </c>
      <c r="I259">
        <v>513970</v>
      </c>
      <c r="J259">
        <v>90</v>
      </c>
      <c r="K259" t="s">
        <v>37</v>
      </c>
      <c r="L259">
        <v>2000000</v>
      </c>
      <c r="M259" t="s">
        <v>31</v>
      </c>
      <c r="N259" t="s">
        <v>63</v>
      </c>
      <c r="O259" s="3" t="s">
        <v>371</v>
      </c>
      <c r="P259" s="3">
        <v>45</v>
      </c>
      <c r="Q259" t="s">
        <v>374</v>
      </c>
      <c r="R259" t="s">
        <v>373</v>
      </c>
      <c r="S259">
        <f>IF(Tabla1[[#This Row],[dias_mora]]&gt;30,Tabla1[[#This Row],[saldo_cartera]],0)</f>
        <v>513970</v>
      </c>
      <c r="T259">
        <f>Tabla1[[#This Row],[saldo_mora_30]]/Tabla1[[#This Row],[saldo_cartera]]</f>
        <v>1</v>
      </c>
      <c r="U259" t="str">
        <f>VLOOKUP(N259,asesores_ficticio!$A:$C,3,FALSE)</f>
        <v>Bogotá</v>
      </c>
      <c r="V259" t="str">
        <f t="shared" si="4"/>
        <v>NO</v>
      </c>
    </row>
    <row r="260" spans="1:22" x14ac:dyDescent="0.3">
      <c r="A260" t="s">
        <v>304</v>
      </c>
      <c r="B260" t="s">
        <v>46</v>
      </c>
      <c r="C260" t="s">
        <v>21</v>
      </c>
      <c r="D260" s="1">
        <v>6359999</v>
      </c>
      <c r="E260" s="1">
        <v>-75575996</v>
      </c>
      <c r="F260" s="2">
        <v>45061</v>
      </c>
      <c r="G260" t="s">
        <v>383</v>
      </c>
      <c r="H260">
        <v>1200000</v>
      </c>
      <c r="I260">
        <v>1023203</v>
      </c>
      <c r="J260">
        <v>0</v>
      </c>
      <c r="K260" t="s">
        <v>27</v>
      </c>
      <c r="L260">
        <v>2000000</v>
      </c>
      <c r="M260" t="s">
        <v>18</v>
      </c>
      <c r="N260" t="s">
        <v>63</v>
      </c>
      <c r="O260" s="3" t="s">
        <v>371</v>
      </c>
      <c r="P260" s="3">
        <v>48</v>
      </c>
      <c r="Q260" t="s">
        <v>377</v>
      </c>
      <c r="R260" t="s">
        <v>373</v>
      </c>
      <c r="S260">
        <f>IF(Tabla1[[#This Row],[dias_mora]]&gt;30,Tabla1[[#This Row],[saldo_cartera]],0)</f>
        <v>0</v>
      </c>
      <c r="T260">
        <f>Tabla1[[#This Row],[saldo_mora_30]]/Tabla1[[#This Row],[saldo_cartera]]</f>
        <v>0</v>
      </c>
      <c r="U260" t="str">
        <f>VLOOKUP(N260,asesores_ficticio!$A:$C,3,FALSE)</f>
        <v>Bogotá</v>
      </c>
      <c r="V260" t="str">
        <f t="shared" si="4"/>
        <v>NO</v>
      </c>
    </row>
    <row r="261" spans="1:22" x14ac:dyDescent="0.3">
      <c r="A261" t="s">
        <v>305</v>
      </c>
      <c r="B261" t="s">
        <v>76</v>
      </c>
      <c r="C261" t="s">
        <v>77</v>
      </c>
      <c r="D261" s="1">
        <v>4744162</v>
      </c>
      <c r="E261" s="1">
        <v>-75654242</v>
      </c>
      <c r="F261" s="2">
        <v>46303</v>
      </c>
      <c r="G261" t="s">
        <v>384</v>
      </c>
      <c r="H261">
        <v>4000000</v>
      </c>
      <c r="I261">
        <v>728789</v>
      </c>
      <c r="J261">
        <v>5</v>
      </c>
      <c r="K261" t="s">
        <v>37</v>
      </c>
      <c r="L261">
        <v>2800000</v>
      </c>
      <c r="M261" t="s">
        <v>28</v>
      </c>
      <c r="N261" t="s">
        <v>32</v>
      </c>
      <c r="O261" s="3" t="s">
        <v>370</v>
      </c>
      <c r="P261" s="3">
        <v>31</v>
      </c>
      <c r="Q261" t="s">
        <v>375</v>
      </c>
      <c r="R261" t="s">
        <v>373</v>
      </c>
      <c r="S261">
        <f>IF(Tabla1[[#This Row],[dias_mora]]&gt;30,Tabla1[[#This Row],[saldo_cartera]],0)</f>
        <v>0</v>
      </c>
      <c r="T261">
        <f>Tabla1[[#This Row],[saldo_mora_30]]/Tabla1[[#This Row],[saldo_cartera]]</f>
        <v>0</v>
      </c>
      <c r="U261" t="str">
        <f>VLOOKUP(N261,asesores_ficticio!$A:$C,3,FALSE)</f>
        <v>Cali</v>
      </c>
      <c r="V261" t="str">
        <f t="shared" si="4"/>
        <v>NO</v>
      </c>
    </row>
    <row r="262" spans="1:22" x14ac:dyDescent="0.3">
      <c r="A262" t="s">
        <v>306</v>
      </c>
      <c r="B262" t="s">
        <v>40</v>
      </c>
      <c r="C262" t="s">
        <v>41</v>
      </c>
      <c r="D262" s="1">
        <v>7149231</v>
      </c>
      <c r="E262" s="1">
        <v>-73052882</v>
      </c>
      <c r="F262" s="2">
        <v>46358</v>
      </c>
      <c r="G262" t="s">
        <v>385</v>
      </c>
      <c r="H262">
        <v>2500000</v>
      </c>
      <c r="I262">
        <v>2123514</v>
      </c>
      <c r="J262">
        <v>0</v>
      </c>
      <c r="K262" t="s">
        <v>48</v>
      </c>
      <c r="L262">
        <v>900000</v>
      </c>
      <c r="M262" t="s">
        <v>31</v>
      </c>
      <c r="N262" t="s">
        <v>42</v>
      </c>
      <c r="O262" s="3" t="s">
        <v>371</v>
      </c>
      <c r="P262" s="3">
        <v>27</v>
      </c>
      <c r="Q262" t="s">
        <v>377</v>
      </c>
      <c r="R262" t="s">
        <v>376</v>
      </c>
      <c r="S262">
        <f>IF(Tabla1[[#This Row],[dias_mora]]&gt;30,Tabla1[[#This Row],[saldo_cartera]],0)</f>
        <v>0</v>
      </c>
      <c r="T262">
        <f>Tabla1[[#This Row],[saldo_mora_30]]/Tabla1[[#This Row],[saldo_cartera]]</f>
        <v>0</v>
      </c>
      <c r="U262" t="str">
        <f>VLOOKUP(N262,asesores_ficticio!$A:$C,3,FALSE)</f>
        <v>Itagüí</v>
      </c>
      <c r="V262" t="str">
        <f t="shared" si="4"/>
        <v>NO</v>
      </c>
    </row>
    <row r="263" spans="1:22" x14ac:dyDescent="0.3">
      <c r="A263" t="s">
        <v>307</v>
      </c>
      <c r="B263" t="s">
        <v>380</v>
      </c>
      <c r="C263" t="s">
        <v>21</v>
      </c>
      <c r="D263" s="1">
        <v>6247446</v>
      </c>
      <c r="E263" s="1">
        <v>-75562846</v>
      </c>
      <c r="F263" s="2">
        <v>46139</v>
      </c>
      <c r="G263" t="s">
        <v>385</v>
      </c>
      <c r="H263">
        <v>800000</v>
      </c>
      <c r="I263">
        <v>109020</v>
      </c>
      <c r="J263">
        <v>0</v>
      </c>
      <c r="K263" t="s">
        <v>17</v>
      </c>
      <c r="L263">
        <v>3500000</v>
      </c>
      <c r="M263" t="s">
        <v>23</v>
      </c>
      <c r="N263" t="s">
        <v>24</v>
      </c>
      <c r="O263" s="3" t="s">
        <v>370</v>
      </c>
      <c r="P263" s="3">
        <v>59</v>
      </c>
      <c r="Q263" t="s">
        <v>372</v>
      </c>
      <c r="R263" t="s">
        <v>378</v>
      </c>
      <c r="S263">
        <f>IF(Tabla1[[#This Row],[dias_mora]]&gt;30,Tabla1[[#This Row],[saldo_cartera]],0)</f>
        <v>0</v>
      </c>
      <c r="T263">
        <f>Tabla1[[#This Row],[saldo_mora_30]]/Tabla1[[#This Row],[saldo_cartera]]</f>
        <v>0</v>
      </c>
      <c r="U263" t="str">
        <f>VLOOKUP(N263,asesores_ficticio!$A:$C,3,FALSE)</f>
        <v>Soacha</v>
      </c>
      <c r="V263" t="str">
        <f t="shared" si="4"/>
        <v>NO</v>
      </c>
    </row>
    <row r="264" spans="1:22" x14ac:dyDescent="0.3">
      <c r="A264" t="s">
        <v>308</v>
      </c>
      <c r="B264" t="s">
        <v>46</v>
      </c>
      <c r="C264" t="s">
        <v>21</v>
      </c>
      <c r="D264" s="1">
        <v>6271224</v>
      </c>
      <c r="E264" s="1">
        <v>-75548982</v>
      </c>
      <c r="F264" s="2">
        <v>45280</v>
      </c>
      <c r="G264" t="s">
        <v>383</v>
      </c>
      <c r="H264">
        <v>2500000</v>
      </c>
      <c r="I264">
        <v>943019</v>
      </c>
      <c r="J264">
        <v>0</v>
      </c>
      <c r="K264" t="s">
        <v>48</v>
      </c>
      <c r="L264">
        <v>2000000</v>
      </c>
      <c r="M264" t="s">
        <v>31</v>
      </c>
      <c r="N264" t="s">
        <v>42</v>
      </c>
      <c r="O264" s="3" t="s">
        <v>370</v>
      </c>
      <c r="P264" s="3">
        <v>64</v>
      </c>
      <c r="Q264" t="s">
        <v>372</v>
      </c>
      <c r="R264" t="s">
        <v>373</v>
      </c>
      <c r="S264">
        <f>IF(Tabla1[[#This Row],[dias_mora]]&gt;30,Tabla1[[#This Row],[saldo_cartera]],0)</f>
        <v>0</v>
      </c>
      <c r="T264">
        <f>Tabla1[[#This Row],[saldo_mora_30]]/Tabla1[[#This Row],[saldo_cartera]]</f>
        <v>0</v>
      </c>
      <c r="U264" t="str">
        <f>VLOOKUP(N264,asesores_ficticio!$A:$C,3,FALSE)</f>
        <v>Itagüí</v>
      </c>
      <c r="V264" t="str">
        <f t="shared" si="4"/>
        <v>NO</v>
      </c>
    </row>
    <row r="265" spans="1:22" x14ac:dyDescent="0.3">
      <c r="A265" t="s">
        <v>309</v>
      </c>
      <c r="B265" t="s">
        <v>380</v>
      </c>
      <c r="C265" t="s">
        <v>21</v>
      </c>
      <c r="D265" s="1">
        <v>6182555</v>
      </c>
      <c r="E265" s="1">
        <v>-75598972</v>
      </c>
      <c r="F265" s="2">
        <v>45912</v>
      </c>
      <c r="G265" t="s">
        <v>383</v>
      </c>
      <c r="H265">
        <v>500000</v>
      </c>
      <c r="I265">
        <v>443094</v>
      </c>
      <c r="J265">
        <v>0</v>
      </c>
      <c r="K265" t="s">
        <v>27</v>
      </c>
      <c r="L265">
        <v>900000</v>
      </c>
      <c r="M265" t="s">
        <v>31</v>
      </c>
      <c r="N265" t="s">
        <v>38</v>
      </c>
      <c r="O265" s="3" t="s">
        <v>370</v>
      </c>
      <c r="P265" s="3">
        <v>38</v>
      </c>
      <c r="Q265" t="s">
        <v>377</v>
      </c>
      <c r="R265" t="s">
        <v>376</v>
      </c>
      <c r="S265">
        <f>IF(Tabla1[[#This Row],[dias_mora]]&gt;30,Tabla1[[#This Row],[saldo_cartera]],0)</f>
        <v>0</v>
      </c>
      <c r="T265">
        <f>Tabla1[[#This Row],[saldo_mora_30]]/Tabla1[[#This Row],[saldo_cartera]]</f>
        <v>0</v>
      </c>
      <c r="U265" t="str">
        <f>VLOOKUP(N265,asesores_ficticio!$A:$C,3,FALSE)</f>
        <v>Barranquilla</v>
      </c>
      <c r="V265" t="str">
        <f t="shared" si="4"/>
        <v>NO</v>
      </c>
    </row>
    <row r="266" spans="1:22" x14ac:dyDescent="0.3">
      <c r="A266" t="s">
        <v>310</v>
      </c>
      <c r="B266" t="s">
        <v>76</v>
      </c>
      <c r="C266" t="s">
        <v>77</v>
      </c>
      <c r="D266" s="1">
        <v>4831734</v>
      </c>
      <c r="E266" s="1">
        <v>-75768605</v>
      </c>
      <c r="F266" s="2">
        <v>46035</v>
      </c>
      <c r="G266" t="s">
        <v>382</v>
      </c>
      <c r="H266">
        <v>1200000</v>
      </c>
      <c r="I266">
        <v>531033</v>
      </c>
      <c r="J266">
        <v>5</v>
      </c>
      <c r="K266" t="s">
        <v>22</v>
      </c>
      <c r="L266">
        <v>3500000</v>
      </c>
      <c r="M266" t="s">
        <v>50</v>
      </c>
      <c r="N266" t="s">
        <v>38</v>
      </c>
      <c r="O266" s="3" t="s">
        <v>371</v>
      </c>
      <c r="P266" s="3">
        <v>23</v>
      </c>
      <c r="Q266" t="s">
        <v>375</v>
      </c>
      <c r="R266" t="s">
        <v>378</v>
      </c>
      <c r="S266">
        <f>IF(Tabla1[[#This Row],[dias_mora]]&gt;30,Tabla1[[#This Row],[saldo_cartera]],0)</f>
        <v>0</v>
      </c>
      <c r="T266">
        <f>Tabla1[[#This Row],[saldo_mora_30]]/Tabla1[[#This Row],[saldo_cartera]]</f>
        <v>0</v>
      </c>
      <c r="U266" t="str">
        <f>VLOOKUP(N266,asesores_ficticio!$A:$C,3,FALSE)</f>
        <v>Barranquilla</v>
      </c>
      <c r="V266" t="str">
        <f t="shared" si="4"/>
        <v>NO</v>
      </c>
    </row>
    <row r="267" spans="1:22" x14ac:dyDescent="0.3">
      <c r="A267" t="s">
        <v>311</v>
      </c>
      <c r="B267" t="s">
        <v>381</v>
      </c>
      <c r="C267" t="s">
        <v>16</v>
      </c>
      <c r="D267" s="1">
        <v>4774525</v>
      </c>
      <c r="E267" s="1">
        <v>-74148863</v>
      </c>
      <c r="F267" s="2">
        <v>45021</v>
      </c>
      <c r="G267" t="s">
        <v>382</v>
      </c>
      <c r="H267">
        <v>6000000</v>
      </c>
      <c r="I267">
        <v>4647626</v>
      </c>
      <c r="J267">
        <v>0</v>
      </c>
      <c r="K267" t="s">
        <v>37</v>
      </c>
      <c r="L267">
        <v>2000000</v>
      </c>
      <c r="M267" t="s">
        <v>23</v>
      </c>
      <c r="N267" t="s">
        <v>63</v>
      </c>
      <c r="O267" s="3" t="s">
        <v>371</v>
      </c>
      <c r="P267" s="3">
        <v>34</v>
      </c>
      <c r="Q267" t="s">
        <v>377</v>
      </c>
      <c r="R267" t="s">
        <v>373</v>
      </c>
      <c r="S267">
        <f>IF(Tabla1[[#This Row],[dias_mora]]&gt;30,Tabla1[[#This Row],[saldo_cartera]],0)</f>
        <v>0</v>
      </c>
      <c r="T267">
        <f>Tabla1[[#This Row],[saldo_mora_30]]/Tabla1[[#This Row],[saldo_cartera]]</f>
        <v>0</v>
      </c>
      <c r="U267" t="str">
        <f>VLOOKUP(N267,asesores_ficticio!$A:$C,3,FALSE)</f>
        <v>Bogotá</v>
      </c>
      <c r="V267" t="str">
        <f t="shared" si="4"/>
        <v>SI</v>
      </c>
    </row>
    <row r="268" spans="1:22" x14ac:dyDescent="0.3">
      <c r="A268" t="s">
        <v>312</v>
      </c>
      <c r="B268" t="s">
        <v>70</v>
      </c>
      <c r="C268" t="s">
        <v>71</v>
      </c>
      <c r="D268" s="1">
        <v>3468397</v>
      </c>
      <c r="E268" s="1">
        <v>-76597714</v>
      </c>
      <c r="F268" s="2">
        <v>46293</v>
      </c>
      <c r="G268" t="s">
        <v>382</v>
      </c>
      <c r="H268">
        <v>1800000</v>
      </c>
      <c r="I268">
        <v>503427</v>
      </c>
      <c r="J268">
        <v>30</v>
      </c>
      <c r="K268" t="s">
        <v>48</v>
      </c>
      <c r="L268">
        <v>3500000</v>
      </c>
      <c r="M268" t="s">
        <v>28</v>
      </c>
      <c r="N268" t="s">
        <v>42</v>
      </c>
      <c r="O268" s="3" t="s">
        <v>371</v>
      </c>
      <c r="P268" s="3">
        <v>20</v>
      </c>
      <c r="Q268" t="s">
        <v>374</v>
      </c>
      <c r="R268" t="s">
        <v>378</v>
      </c>
      <c r="S268">
        <f>IF(Tabla1[[#This Row],[dias_mora]]&gt;30,Tabla1[[#This Row],[saldo_cartera]],0)</f>
        <v>0</v>
      </c>
      <c r="T268">
        <f>Tabla1[[#This Row],[saldo_mora_30]]/Tabla1[[#This Row],[saldo_cartera]]</f>
        <v>0</v>
      </c>
      <c r="U268" t="str">
        <f>VLOOKUP(N268,asesores_ficticio!$A:$C,3,FALSE)</f>
        <v>Itagüí</v>
      </c>
      <c r="V268" t="str">
        <f t="shared" si="4"/>
        <v>NO</v>
      </c>
    </row>
    <row r="269" spans="1:22" x14ac:dyDescent="0.3">
      <c r="A269" t="s">
        <v>313</v>
      </c>
      <c r="B269" t="s">
        <v>46</v>
      </c>
      <c r="C269" t="s">
        <v>21</v>
      </c>
      <c r="D269" s="1">
        <v>630708</v>
      </c>
      <c r="E269" s="1">
        <v>-75556913</v>
      </c>
      <c r="F269" s="2">
        <v>44992</v>
      </c>
      <c r="G269" t="s">
        <v>385</v>
      </c>
      <c r="H269">
        <v>800000</v>
      </c>
      <c r="I269">
        <v>610751</v>
      </c>
      <c r="J269">
        <v>0</v>
      </c>
      <c r="K269" t="s">
        <v>48</v>
      </c>
      <c r="L269">
        <v>2800000</v>
      </c>
      <c r="M269" t="s">
        <v>18</v>
      </c>
      <c r="N269" t="s">
        <v>61</v>
      </c>
      <c r="O269" s="3" t="s">
        <v>370</v>
      </c>
      <c r="P269" s="3">
        <v>40</v>
      </c>
      <c r="Q269" t="s">
        <v>377</v>
      </c>
      <c r="R269" t="s">
        <v>373</v>
      </c>
      <c r="S269">
        <f>IF(Tabla1[[#This Row],[dias_mora]]&gt;30,Tabla1[[#This Row],[saldo_cartera]],0)</f>
        <v>0</v>
      </c>
      <c r="T269">
        <f>Tabla1[[#This Row],[saldo_mora_30]]/Tabla1[[#This Row],[saldo_cartera]]</f>
        <v>0</v>
      </c>
      <c r="U269" t="str">
        <f>VLOOKUP(N269,asesores_ficticio!$A:$C,3,FALSE)</f>
        <v>Medellín</v>
      </c>
      <c r="V269" t="str">
        <f t="shared" si="4"/>
        <v>NO</v>
      </c>
    </row>
    <row r="270" spans="1:22" x14ac:dyDescent="0.3">
      <c r="A270" t="s">
        <v>314</v>
      </c>
      <c r="B270" t="s">
        <v>34</v>
      </c>
      <c r="C270" t="s">
        <v>386</v>
      </c>
      <c r="D270" s="1">
        <v>10891989</v>
      </c>
      <c r="E270" s="1">
        <v>-7481874</v>
      </c>
      <c r="F270" s="2">
        <v>46330</v>
      </c>
      <c r="G270" t="s">
        <v>384</v>
      </c>
      <c r="H270">
        <v>800000</v>
      </c>
      <c r="I270">
        <v>266305</v>
      </c>
      <c r="J270">
        <v>30</v>
      </c>
      <c r="K270" t="s">
        <v>22</v>
      </c>
      <c r="L270">
        <v>2800000</v>
      </c>
      <c r="M270" t="s">
        <v>23</v>
      </c>
      <c r="N270" t="s">
        <v>38</v>
      </c>
      <c r="O270" s="3" t="s">
        <v>370</v>
      </c>
      <c r="P270" s="3">
        <v>47</v>
      </c>
      <c r="Q270" t="s">
        <v>374</v>
      </c>
      <c r="R270" t="s">
        <v>373</v>
      </c>
      <c r="S270">
        <f>IF(Tabla1[[#This Row],[dias_mora]]&gt;30,Tabla1[[#This Row],[saldo_cartera]],0)</f>
        <v>0</v>
      </c>
      <c r="T270">
        <f>Tabla1[[#This Row],[saldo_mora_30]]/Tabla1[[#This Row],[saldo_cartera]]</f>
        <v>0</v>
      </c>
      <c r="U270" t="str">
        <f>VLOOKUP(N270,asesores_ficticio!$A:$C,3,FALSE)</f>
        <v>Barranquilla</v>
      </c>
      <c r="V270" t="str">
        <f t="shared" si="4"/>
        <v>SI</v>
      </c>
    </row>
    <row r="271" spans="1:22" x14ac:dyDescent="0.3">
      <c r="A271" t="s">
        <v>315</v>
      </c>
      <c r="B271" t="s">
        <v>76</v>
      </c>
      <c r="C271" t="s">
        <v>77</v>
      </c>
      <c r="D271" s="1">
        <v>4805677</v>
      </c>
      <c r="E271" s="1">
        <v>-75620917</v>
      </c>
      <c r="F271" s="2">
        <v>46018</v>
      </c>
      <c r="G271" t="s">
        <v>384</v>
      </c>
      <c r="H271">
        <v>1800000</v>
      </c>
      <c r="I271">
        <v>1077927</v>
      </c>
      <c r="J271">
        <v>0</v>
      </c>
      <c r="K271" t="s">
        <v>27</v>
      </c>
      <c r="L271">
        <v>1300000</v>
      </c>
      <c r="M271" t="s">
        <v>50</v>
      </c>
      <c r="N271" t="s">
        <v>32</v>
      </c>
      <c r="O271" s="3" t="s">
        <v>371</v>
      </c>
      <c r="P271" s="3">
        <v>63</v>
      </c>
      <c r="Q271" t="s">
        <v>377</v>
      </c>
      <c r="R271" t="s">
        <v>376</v>
      </c>
      <c r="S271">
        <f>IF(Tabla1[[#This Row],[dias_mora]]&gt;30,Tabla1[[#This Row],[saldo_cartera]],0)</f>
        <v>0</v>
      </c>
      <c r="T271">
        <f>Tabla1[[#This Row],[saldo_mora_30]]/Tabla1[[#This Row],[saldo_cartera]]</f>
        <v>0</v>
      </c>
      <c r="U271" t="str">
        <f>VLOOKUP(N271,asesores_ficticio!$A:$C,3,FALSE)</f>
        <v>Cali</v>
      </c>
      <c r="V271" t="str">
        <f t="shared" si="4"/>
        <v>NO</v>
      </c>
    </row>
    <row r="272" spans="1:22" x14ac:dyDescent="0.3">
      <c r="A272" t="s">
        <v>316</v>
      </c>
      <c r="B272" t="s">
        <v>379</v>
      </c>
      <c r="C272" t="s">
        <v>21</v>
      </c>
      <c r="D272" s="1">
        <v>6190265</v>
      </c>
      <c r="E272" s="1">
        <v>-75569639</v>
      </c>
      <c r="F272" s="2">
        <v>45433</v>
      </c>
      <c r="G272" t="s">
        <v>383</v>
      </c>
      <c r="H272">
        <v>800000</v>
      </c>
      <c r="I272">
        <v>662836</v>
      </c>
      <c r="J272">
        <v>5</v>
      </c>
      <c r="K272" t="s">
        <v>17</v>
      </c>
      <c r="L272">
        <v>3500000</v>
      </c>
      <c r="M272" t="s">
        <v>50</v>
      </c>
      <c r="N272" t="s">
        <v>61</v>
      </c>
      <c r="O272" s="3" t="s">
        <v>371</v>
      </c>
      <c r="P272" s="3">
        <v>57</v>
      </c>
      <c r="Q272" t="s">
        <v>375</v>
      </c>
      <c r="R272" t="s">
        <v>378</v>
      </c>
      <c r="S272">
        <f>IF(Tabla1[[#This Row],[dias_mora]]&gt;30,Tabla1[[#This Row],[saldo_cartera]],0)</f>
        <v>0</v>
      </c>
      <c r="T272">
        <f>Tabla1[[#This Row],[saldo_mora_30]]/Tabla1[[#This Row],[saldo_cartera]]</f>
        <v>0</v>
      </c>
      <c r="U272" t="str">
        <f>VLOOKUP(N272,asesores_ficticio!$A:$C,3,FALSE)</f>
        <v>Medellín</v>
      </c>
      <c r="V272" t="str">
        <f t="shared" si="4"/>
        <v>SI</v>
      </c>
    </row>
    <row r="273" spans="1:22" x14ac:dyDescent="0.3">
      <c r="A273" t="s">
        <v>317</v>
      </c>
      <c r="B273" t="s">
        <v>34</v>
      </c>
      <c r="C273" t="s">
        <v>386</v>
      </c>
      <c r="D273" s="1">
        <v>11029742</v>
      </c>
      <c r="E273" s="1">
        <v>-74772821</v>
      </c>
      <c r="F273" s="2">
        <v>46014</v>
      </c>
      <c r="G273" t="s">
        <v>382</v>
      </c>
      <c r="H273">
        <v>2500000</v>
      </c>
      <c r="I273">
        <v>1951838</v>
      </c>
      <c r="J273">
        <v>0</v>
      </c>
      <c r="K273" t="s">
        <v>37</v>
      </c>
      <c r="L273">
        <v>2800000</v>
      </c>
      <c r="M273" t="s">
        <v>31</v>
      </c>
      <c r="N273" t="s">
        <v>24</v>
      </c>
      <c r="O273" s="3" t="s">
        <v>370</v>
      </c>
      <c r="P273" s="3">
        <v>53</v>
      </c>
      <c r="Q273" t="s">
        <v>377</v>
      </c>
      <c r="R273" t="s">
        <v>373</v>
      </c>
      <c r="S273">
        <f>IF(Tabla1[[#This Row],[dias_mora]]&gt;30,Tabla1[[#This Row],[saldo_cartera]],0)</f>
        <v>0</v>
      </c>
      <c r="T273">
        <f>Tabla1[[#This Row],[saldo_mora_30]]/Tabla1[[#This Row],[saldo_cartera]]</f>
        <v>0</v>
      </c>
      <c r="U273" t="str">
        <f>VLOOKUP(N273,asesores_ficticio!$A:$C,3,FALSE)</f>
        <v>Soacha</v>
      </c>
      <c r="V273" t="str">
        <f t="shared" si="4"/>
        <v>NO</v>
      </c>
    </row>
    <row r="274" spans="1:22" x14ac:dyDescent="0.3">
      <c r="A274" t="s">
        <v>318</v>
      </c>
      <c r="B274" t="s">
        <v>34</v>
      </c>
      <c r="C274" t="s">
        <v>386</v>
      </c>
      <c r="D274" s="1">
        <v>1092422</v>
      </c>
      <c r="E274" s="1">
        <v>-74801728</v>
      </c>
      <c r="F274" s="2">
        <v>44943</v>
      </c>
      <c r="G274" t="s">
        <v>382</v>
      </c>
      <c r="H274">
        <v>4000000</v>
      </c>
      <c r="I274">
        <v>2170169</v>
      </c>
      <c r="J274">
        <v>5</v>
      </c>
      <c r="K274" t="s">
        <v>17</v>
      </c>
      <c r="L274">
        <v>2800000</v>
      </c>
      <c r="M274" t="s">
        <v>28</v>
      </c>
      <c r="N274" t="s">
        <v>57</v>
      </c>
      <c r="O274" s="3" t="s">
        <v>371</v>
      </c>
      <c r="P274" s="3">
        <v>39</v>
      </c>
      <c r="Q274" t="s">
        <v>375</v>
      </c>
      <c r="R274" t="s">
        <v>373</v>
      </c>
      <c r="S274">
        <f>IF(Tabla1[[#This Row],[dias_mora]]&gt;30,Tabla1[[#This Row],[saldo_cartera]],0)</f>
        <v>0</v>
      </c>
      <c r="T274">
        <f>Tabla1[[#This Row],[saldo_mora_30]]/Tabla1[[#This Row],[saldo_cartera]]</f>
        <v>0</v>
      </c>
      <c r="U274" t="str">
        <f>VLOOKUP(N274,asesores_ficticio!$A:$C,3,FALSE)</f>
        <v>Pereira</v>
      </c>
      <c r="V274" t="str">
        <f t="shared" si="4"/>
        <v>NO</v>
      </c>
    </row>
    <row r="275" spans="1:22" x14ac:dyDescent="0.3">
      <c r="A275" t="s">
        <v>319</v>
      </c>
      <c r="B275" t="s">
        <v>381</v>
      </c>
      <c r="C275" t="s">
        <v>16</v>
      </c>
      <c r="D275" s="1">
        <v>4678756</v>
      </c>
      <c r="E275" s="1">
        <v>-74134803</v>
      </c>
      <c r="F275" s="2">
        <v>45798</v>
      </c>
      <c r="G275" t="s">
        <v>382</v>
      </c>
      <c r="H275">
        <v>500000</v>
      </c>
      <c r="I275">
        <v>192921</v>
      </c>
      <c r="J275">
        <v>0</v>
      </c>
      <c r="K275" t="s">
        <v>22</v>
      </c>
      <c r="L275">
        <v>1600000</v>
      </c>
      <c r="M275" t="s">
        <v>18</v>
      </c>
      <c r="N275" t="s">
        <v>35</v>
      </c>
      <c r="O275" s="3" t="s">
        <v>371</v>
      </c>
      <c r="P275" s="3">
        <v>48</v>
      </c>
      <c r="Q275" t="s">
        <v>372</v>
      </c>
      <c r="R275" t="s">
        <v>373</v>
      </c>
      <c r="S275">
        <f>IF(Tabla1[[#This Row],[dias_mora]]&gt;30,Tabla1[[#This Row],[saldo_cartera]],0)</f>
        <v>0</v>
      </c>
      <c r="T275">
        <f>Tabla1[[#This Row],[saldo_mora_30]]/Tabla1[[#This Row],[saldo_cartera]]</f>
        <v>0</v>
      </c>
      <c r="U275" t="str">
        <f>VLOOKUP(N275,asesores_ficticio!$A:$C,3,FALSE)</f>
        <v>Bucaramanga</v>
      </c>
      <c r="V275" t="str">
        <f t="shared" si="4"/>
        <v>NO</v>
      </c>
    </row>
    <row r="276" spans="1:22" x14ac:dyDescent="0.3">
      <c r="A276" t="s">
        <v>320</v>
      </c>
      <c r="B276" t="s">
        <v>26</v>
      </c>
      <c r="C276" t="s">
        <v>21</v>
      </c>
      <c r="D276" s="1">
        <v>621875</v>
      </c>
      <c r="E276" s="1">
        <v>-75325731</v>
      </c>
      <c r="F276" s="2">
        <v>45627</v>
      </c>
      <c r="G276" t="s">
        <v>383</v>
      </c>
      <c r="H276">
        <v>6000000</v>
      </c>
      <c r="I276">
        <v>4731148</v>
      </c>
      <c r="J276">
        <v>0</v>
      </c>
      <c r="K276" t="s">
        <v>27</v>
      </c>
      <c r="L276">
        <v>1600000</v>
      </c>
      <c r="M276" t="s">
        <v>23</v>
      </c>
      <c r="N276" t="s">
        <v>32</v>
      </c>
      <c r="O276" s="3" t="s">
        <v>371</v>
      </c>
      <c r="P276" s="3">
        <v>21</v>
      </c>
      <c r="Q276" t="s">
        <v>377</v>
      </c>
      <c r="R276" t="s">
        <v>373</v>
      </c>
      <c r="S276">
        <f>IF(Tabla1[[#This Row],[dias_mora]]&gt;30,Tabla1[[#This Row],[saldo_cartera]],0)</f>
        <v>0</v>
      </c>
      <c r="T276">
        <f>Tabla1[[#This Row],[saldo_mora_30]]/Tabla1[[#This Row],[saldo_cartera]]</f>
        <v>0</v>
      </c>
      <c r="U276" t="str">
        <f>VLOOKUP(N276,asesores_ficticio!$A:$C,3,FALSE)</f>
        <v>Cali</v>
      </c>
      <c r="V276" t="str">
        <f t="shared" si="4"/>
        <v>NO</v>
      </c>
    </row>
    <row r="277" spans="1:22" x14ac:dyDescent="0.3">
      <c r="A277" t="s">
        <v>321</v>
      </c>
      <c r="B277" t="s">
        <v>70</v>
      </c>
      <c r="C277" t="s">
        <v>71</v>
      </c>
      <c r="D277" s="1">
        <v>3433724</v>
      </c>
      <c r="E277" s="1">
        <v>-76606349</v>
      </c>
      <c r="F277" s="2">
        <v>45614</v>
      </c>
      <c r="G277" t="s">
        <v>383</v>
      </c>
      <c r="H277">
        <v>4000000</v>
      </c>
      <c r="I277">
        <v>3782163</v>
      </c>
      <c r="J277">
        <v>30</v>
      </c>
      <c r="K277" t="s">
        <v>27</v>
      </c>
      <c r="L277">
        <v>1600000</v>
      </c>
      <c r="M277" t="s">
        <v>28</v>
      </c>
      <c r="N277" t="s">
        <v>63</v>
      </c>
      <c r="O277" s="3" t="s">
        <v>371</v>
      </c>
      <c r="P277" s="3">
        <v>45</v>
      </c>
      <c r="Q277" t="s">
        <v>374</v>
      </c>
      <c r="R277" t="s">
        <v>373</v>
      </c>
      <c r="S277">
        <f>IF(Tabla1[[#This Row],[dias_mora]]&gt;30,Tabla1[[#This Row],[saldo_cartera]],0)</f>
        <v>0</v>
      </c>
      <c r="T277">
        <f>Tabla1[[#This Row],[saldo_mora_30]]/Tabla1[[#This Row],[saldo_cartera]]</f>
        <v>0</v>
      </c>
      <c r="U277" t="str">
        <f>VLOOKUP(N277,asesores_ficticio!$A:$C,3,FALSE)</f>
        <v>Bogotá</v>
      </c>
      <c r="V277" t="str">
        <f t="shared" si="4"/>
        <v>NO</v>
      </c>
    </row>
    <row r="278" spans="1:22" x14ac:dyDescent="0.3">
      <c r="A278" t="s">
        <v>322</v>
      </c>
      <c r="B278" t="s">
        <v>380</v>
      </c>
      <c r="C278" t="s">
        <v>21</v>
      </c>
      <c r="D278" s="1">
        <v>6226402</v>
      </c>
      <c r="E278" s="1">
        <v>-75551961</v>
      </c>
      <c r="F278" s="2">
        <v>46017</v>
      </c>
      <c r="G278" t="s">
        <v>385</v>
      </c>
      <c r="H278">
        <v>800000</v>
      </c>
      <c r="I278">
        <v>279773</v>
      </c>
      <c r="J278">
        <v>0</v>
      </c>
      <c r="K278" t="s">
        <v>27</v>
      </c>
      <c r="L278">
        <v>3500000</v>
      </c>
      <c r="M278" t="s">
        <v>50</v>
      </c>
      <c r="N278" t="s">
        <v>29</v>
      </c>
      <c r="O278" s="3" t="s">
        <v>370</v>
      </c>
      <c r="P278" s="3">
        <v>29</v>
      </c>
      <c r="Q278" t="s">
        <v>372</v>
      </c>
      <c r="R278" t="s">
        <v>378</v>
      </c>
      <c r="S278">
        <f>IF(Tabla1[[#This Row],[dias_mora]]&gt;30,Tabla1[[#This Row],[saldo_cartera]],0)</f>
        <v>0</v>
      </c>
      <c r="T278">
        <f>Tabla1[[#This Row],[saldo_mora_30]]/Tabla1[[#This Row],[saldo_cartera]]</f>
        <v>0</v>
      </c>
      <c r="U278" t="str">
        <f>VLOOKUP(N278,asesores_ficticio!$A:$C,3,FALSE)</f>
        <v>Rionegro</v>
      </c>
      <c r="V278" t="str">
        <f t="shared" si="4"/>
        <v>NO</v>
      </c>
    </row>
    <row r="279" spans="1:22" x14ac:dyDescent="0.3">
      <c r="A279" t="s">
        <v>323</v>
      </c>
      <c r="B279" t="s">
        <v>15</v>
      </c>
      <c r="C279" t="s">
        <v>16</v>
      </c>
      <c r="D279" s="1">
        <v>4535032</v>
      </c>
      <c r="E279" s="1">
        <v>-74157171</v>
      </c>
      <c r="F279" s="2">
        <v>45897</v>
      </c>
      <c r="G279" t="s">
        <v>384</v>
      </c>
      <c r="H279">
        <v>1800000</v>
      </c>
      <c r="I279">
        <v>1385778</v>
      </c>
      <c r="J279">
        <v>0</v>
      </c>
      <c r="K279" t="s">
        <v>37</v>
      </c>
      <c r="L279">
        <v>1600000</v>
      </c>
      <c r="M279" t="s">
        <v>50</v>
      </c>
      <c r="N279" t="s">
        <v>57</v>
      </c>
      <c r="O279" s="3" t="s">
        <v>371</v>
      </c>
      <c r="P279" s="3">
        <v>24</v>
      </c>
      <c r="Q279" t="s">
        <v>377</v>
      </c>
      <c r="R279" t="s">
        <v>373</v>
      </c>
      <c r="S279">
        <f>IF(Tabla1[[#This Row],[dias_mora]]&gt;30,Tabla1[[#This Row],[saldo_cartera]],0)</f>
        <v>0</v>
      </c>
      <c r="T279">
        <f>Tabla1[[#This Row],[saldo_mora_30]]/Tabla1[[#This Row],[saldo_cartera]]</f>
        <v>0</v>
      </c>
      <c r="U279" t="str">
        <f>VLOOKUP(N279,asesores_ficticio!$A:$C,3,FALSE)</f>
        <v>Pereira</v>
      </c>
      <c r="V279" t="str">
        <f t="shared" si="4"/>
        <v>NO</v>
      </c>
    </row>
    <row r="280" spans="1:22" x14ac:dyDescent="0.3">
      <c r="A280" t="s">
        <v>324</v>
      </c>
      <c r="B280" t="s">
        <v>76</v>
      </c>
      <c r="C280" t="s">
        <v>77</v>
      </c>
      <c r="D280" s="1">
        <v>4885388</v>
      </c>
      <c r="E280" s="1">
        <v>-75763205</v>
      </c>
      <c r="F280" s="2">
        <v>45840</v>
      </c>
      <c r="G280" t="s">
        <v>385</v>
      </c>
      <c r="H280">
        <v>800000</v>
      </c>
      <c r="I280">
        <v>420325</v>
      </c>
      <c r="J280">
        <v>45</v>
      </c>
      <c r="K280" t="s">
        <v>22</v>
      </c>
      <c r="L280">
        <v>2000000</v>
      </c>
      <c r="M280" t="s">
        <v>18</v>
      </c>
      <c r="N280" t="s">
        <v>24</v>
      </c>
      <c r="O280" s="3" t="s">
        <v>371</v>
      </c>
      <c r="P280" s="3">
        <v>42</v>
      </c>
      <c r="Q280" t="s">
        <v>374</v>
      </c>
      <c r="R280" t="s">
        <v>373</v>
      </c>
      <c r="S280">
        <f>IF(Tabla1[[#This Row],[dias_mora]]&gt;30,Tabla1[[#This Row],[saldo_cartera]],0)</f>
        <v>420325</v>
      </c>
      <c r="T280">
        <f>Tabla1[[#This Row],[saldo_mora_30]]/Tabla1[[#This Row],[saldo_cartera]]</f>
        <v>1</v>
      </c>
      <c r="U280" t="str">
        <f>VLOOKUP(N280,asesores_ficticio!$A:$C,3,FALSE)</f>
        <v>Soacha</v>
      </c>
      <c r="V280" t="str">
        <f t="shared" si="4"/>
        <v>NO</v>
      </c>
    </row>
    <row r="281" spans="1:22" x14ac:dyDescent="0.3">
      <c r="A281" t="s">
        <v>325</v>
      </c>
      <c r="B281" t="s">
        <v>70</v>
      </c>
      <c r="C281" t="s">
        <v>71</v>
      </c>
      <c r="D281" s="1">
        <v>3529551</v>
      </c>
      <c r="E281" s="1">
        <v>-76469145</v>
      </c>
      <c r="F281" s="2">
        <v>45149</v>
      </c>
      <c r="G281" t="s">
        <v>385</v>
      </c>
      <c r="H281">
        <v>1800000</v>
      </c>
      <c r="I281">
        <v>399133</v>
      </c>
      <c r="J281">
        <v>45</v>
      </c>
      <c r="K281" t="s">
        <v>27</v>
      </c>
      <c r="L281">
        <v>1300000</v>
      </c>
      <c r="M281" t="s">
        <v>50</v>
      </c>
      <c r="N281" t="s">
        <v>61</v>
      </c>
      <c r="O281" s="3" t="s">
        <v>371</v>
      </c>
      <c r="P281" s="3">
        <v>47</v>
      </c>
      <c r="Q281" t="s">
        <v>374</v>
      </c>
      <c r="R281" t="s">
        <v>376</v>
      </c>
      <c r="S281">
        <f>IF(Tabla1[[#This Row],[dias_mora]]&gt;30,Tabla1[[#This Row],[saldo_cartera]],0)</f>
        <v>399133</v>
      </c>
      <c r="T281">
        <f>Tabla1[[#This Row],[saldo_mora_30]]/Tabla1[[#This Row],[saldo_cartera]]</f>
        <v>1</v>
      </c>
      <c r="U281" t="str">
        <f>VLOOKUP(N281,asesores_ficticio!$A:$C,3,FALSE)</f>
        <v>Medellín</v>
      </c>
      <c r="V281" t="str">
        <f t="shared" si="4"/>
        <v>NO</v>
      </c>
    </row>
    <row r="282" spans="1:22" x14ac:dyDescent="0.3">
      <c r="A282" t="s">
        <v>326</v>
      </c>
      <c r="B282" t="s">
        <v>34</v>
      </c>
      <c r="C282" t="s">
        <v>386</v>
      </c>
      <c r="D282" s="1">
        <v>10927664</v>
      </c>
      <c r="E282" s="1">
        <v>-74754609</v>
      </c>
      <c r="F282" s="2">
        <v>45579</v>
      </c>
      <c r="G282" t="s">
        <v>383</v>
      </c>
      <c r="H282">
        <v>800000</v>
      </c>
      <c r="I282">
        <v>471870</v>
      </c>
      <c r="J282">
        <v>0</v>
      </c>
      <c r="K282" t="s">
        <v>37</v>
      </c>
      <c r="L282">
        <v>900000</v>
      </c>
      <c r="M282" t="s">
        <v>31</v>
      </c>
      <c r="N282" t="s">
        <v>38</v>
      </c>
      <c r="O282" s="3" t="s">
        <v>371</v>
      </c>
      <c r="P282" s="3">
        <v>24</v>
      </c>
      <c r="Q282" t="s">
        <v>377</v>
      </c>
      <c r="R282" t="s">
        <v>376</v>
      </c>
      <c r="S282">
        <f>IF(Tabla1[[#This Row],[dias_mora]]&gt;30,Tabla1[[#This Row],[saldo_cartera]],0)</f>
        <v>0</v>
      </c>
      <c r="T282">
        <f>Tabla1[[#This Row],[saldo_mora_30]]/Tabla1[[#This Row],[saldo_cartera]]</f>
        <v>0</v>
      </c>
      <c r="U282" t="str">
        <f>VLOOKUP(N282,asesores_ficticio!$A:$C,3,FALSE)</f>
        <v>Barranquilla</v>
      </c>
      <c r="V282" t="str">
        <f t="shared" si="4"/>
        <v>SI</v>
      </c>
    </row>
    <row r="283" spans="1:22" x14ac:dyDescent="0.3">
      <c r="A283" t="s">
        <v>327</v>
      </c>
      <c r="B283" t="s">
        <v>70</v>
      </c>
      <c r="C283" t="s">
        <v>71</v>
      </c>
      <c r="D283" s="1">
        <v>3372347</v>
      </c>
      <c r="E283" s="1">
        <v>-76526595</v>
      </c>
      <c r="F283" s="2">
        <v>45313</v>
      </c>
      <c r="G283" t="s">
        <v>384</v>
      </c>
      <c r="H283">
        <v>4000000</v>
      </c>
      <c r="I283">
        <v>1668545</v>
      </c>
      <c r="J283">
        <v>0</v>
      </c>
      <c r="K283" t="s">
        <v>22</v>
      </c>
      <c r="L283">
        <v>1600000</v>
      </c>
      <c r="M283" t="s">
        <v>18</v>
      </c>
      <c r="N283" t="s">
        <v>24</v>
      </c>
      <c r="O283" s="3" t="s">
        <v>371</v>
      </c>
      <c r="P283" s="3">
        <v>24</v>
      </c>
      <c r="Q283" t="s">
        <v>372</v>
      </c>
      <c r="R283" t="s">
        <v>373</v>
      </c>
      <c r="S283">
        <f>IF(Tabla1[[#This Row],[dias_mora]]&gt;30,Tabla1[[#This Row],[saldo_cartera]],0)</f>
        <v>0</v>
      </c>
      <c r="T283">
        <f>Tabla1[[#This Row],[saldo_mora_30]]/Tabla1[[#This Row],[saldo_cartera]]</f>
        <v>0</v>
      </c>
      <c r="U283" t="str">
        <f>VLOOKUP(N283,asesores_ficticio!$A:$C,3,FALSE)</f>
        <v>Soacha</v>
      </c>
      <c r="V283" t="str">
        <f t="shared" si="4"/>
        <v>NO</v>
      </c>
    </row>
    <row r="284" spans="1:22" x14ac:dyDescent="0.3">
      <c r="A284" t="s">
        <v>328</v>
      </c>
      <c r="B284" t="s">
        <v>381</v>
      </c>
      <c r="C284" t="s">
        <v>16</v>
      </c>
      <c r="D284" s="1">
        <v>4651629</v>
      </c>
      <c r="E284" s="1">
        <v>-74090732</v>
      </c>
      <c r="F284" s="2">
        <v>45792</v>
      </c>
      <c r="G284" t="s">
        <v>382</v>
      </c>
      <c r="H284">
        <v>2500000</v>
      </c>
      <c r="I284">
        <v>900495</v>
      </c>
      <c r="J284">
        <v>0</v>
      </c>
      <c r="K284" t="s">
        <v>37</v>
      </c>
      <c r="L284">
        <v>900000</v>
      </c>
      <c r="M284" t="s">
        <v>18</v>
      </c>
      <c r="N284" t="s">
        <v>24</v>
      </c>
      <c r="O284" s="3" t="s">
        <v>371</v>
      </c>
      <c r="P284" s="3">
        <v>40</v>
      </c>
      <c r="Q284" t="s">
        <v>372</v>
      </c>
      <c r="R284" t="s">
        <v>376</v>
      </c>
      <c r="S284">
        <f>IF(Tabla1[[#This Row],[dias_mora]]&gt;30,Tabla1[[#This Row],[saldo_cartera]],0)</f>
        <v>0</v>
      </c>
      <c r="T284">
        <f>Tabla1[[#This Row],[saldo_mora_30]]/Tabla1[[#This Row],[saldo_cartera]]</f>
        <v>0</v>
      </c>
      <c r="U284" t="str">
        <f>VLOOKUP(N284,asesores_ficticio!$A:$C,3,FALSE)</f>
        <v>Soacha</v>
      </c>
      <c r="V284" t="str">
        <f t="shared" si="4"/>
        <v>NO</v>
      </c>
    </row>
    <row r="285" spans="1:22" x14ac:dyDescent="0.3">
      <c r="A285" t="s">
        <v>329</v>
      </c>
      <c r="B285" t="s">
        <v>34</v>
      </c>
      <c r="C285" t="s">
        <v>386</v>
      </c>
      <c r="D285" s="1">
        <v>1094138</v>
      </c>
      <c r="E285" s="1">
        <v>-74846252</v>
      </c>
      <c r="F285" s="2">
        <v>45406</v>
      </c>
      <c r="G285" t="s">
        <v>384</v>
      </c>
      <c r="H285">
        <v>6000000</v>
      </c>
      <c r="I285">
        <v>2657297</v>
      </c>
      <c r="J285">
        <v>0</v>
      </c>
      <c r="K285" t="s">
        <v>17</v>
      </c>
      <c r="L285">
        <v>3500000</v>
      </c>
      <c r="M285" t="s">
        <v>28</v>
      </c>
      <c r="N285" t="s">
        <v>42</v>
      </c>
      <c r="O285" s="3" t="s">
        <v>371</v>
      </c>
      <c r="P285" s="3">
        <v>45</v>
      </c>
      <c r="Q285" t="s">
        <v>372</v>
      </c>
      <c r="R285" t="s">
        <v>378</v>
      </c>
      <c r="S285">
        <f>IF(Tabla1[[#This Row],[dias_mora]]&gt;30,Tabla1[[#This Row],[saldo_cartera]],0)</f>
        <v>0</v>
      </c>
      <c r="T285">
        <f>Tabla1[[#This Row],[saldo_mora_30]]/Tabla1[[#This Row],[saldo_cartera]]</f>
        <v>0</v>
      </c>
      <c r="U285" t="str">
        <f>VLOOKUP(N285,asesores_ficticio!$A:$C,3,FALSE)</f>
        <v>Itagüí</v>
      </c>
      <c r="V285" t="str">
        <f t="shared" si="4"/>
        <v>NO</v>
      </c>
    </row>
    <row r="286" spans="1:22" x14ac:dyDescent="0.3">
      <c r="A286" t="s">
        <v>330</v>
      </c>
      <c r="B286" t="s">
        <v>46</v>
      </c>
      <c r="C286" t="s">
        <v>21</v>
      </c>
      <c r="D286" s="1">
        <v>6315955</v>
      </c>
      <c r="E286" s="1">
        <v>-75533914</v>
      </c>
      <c r="F286" s="2">
        <v>45201</v>
      </c>
      <c r="G286" t="s">
        <v>384</v>
      </c>
      <c r="H286">
        <v>500000</v>
      </c>
      <c r="I286">
        <v>209457</v>
      </c>
      <c r="J286">
        <v>5</v>
      </c>
      <c r="K286" t="s">
        <v>48</v>
      </c>
      <c r="L286">
        <v>2800000</v>
      </c>
      <c r="M286" t="s">
        <v>50</v>
      </c>
      <c r="N286" t="s">
        <v>19</v>
      </c>
      <c r="O286" s="3" t="s">
        <v>370</v>
      </c>
      <c r="P286" s="3">
        <v>37</v>
      </c>
      <c r="Q286" t="s">
        <v>375</v>
      </c>
      <c r="R286" t="s">
        <v>373</v>
      </c>
      <c r="S286">
        <f>IF(Tabla1[[#This Row],[dias_mora]]&gt;30,Tabla1[[#This Row],[saldo_cartera]],0)</f>
        <v>0</v>
      </c>
      <c r="T286">
        <f>Tabla1[[#This Row],[saldo_mora_30]]/Tabla1[[#This Row],[saldo_cartera]]</f>
        <v>0</v>
      </c>
      <c r="U286" t="str">
        <f>VLOOKUP(N286,asesores_ficticio!$A:$C,3,FALSE)</f>
        <v>Bello</v>
      </c>
      <c r="V286" t="str">
        <f t="shared" si="4"/>
        <v>SI</v>
      </c>
    </row>
    <row r="287" spans="1:22" x14ac:dyDescent="0.3">
      <c r="A287" t="s">
        <v>331</v>
      </c>
      <c r="B287" t="s">
        <v>70</v>
      </c>
      <c r="C287" t="s">
        <v>71</v>
      </c>
      <c r="D287" s="1">
        <v>344269</v>
      </c>
      <c r="E287" s="1">
        <v>-76592225</v>
      </c>
      <c r="F287" s="2">
        <v>45060</v>
      </c>
      <c r="G287" t="s">
        <v>384</v>
      </c>
      <c r="H287">
        <v>1200000</v>
      </c>
      <c r="I287">
        <v>603884</v>
      </c>
      <c r="J287">
        <v>0</v>
      </c>
      <c r="K287" t="s">
        <v>17</v>
      </c>
      <c r="L287">
        <v>3500000</v>
      </c>
      <c r="M287" t="s">
        <v>23</v>
      </c>
      <c r="N287" t="s">
        <v>57</v>
      </c>
      <c r="O287" s="3" t="s">
        <v>370</v>
      </c>
      <c r="P287" s="3">
        <v>42</v>
      </c>
      <c r="Q287" t="s">
        <v>377</v>
      </c>
      <c r="R287" t="s">
        <v>378</v>
      </c>
      <c r="S287">
        <f>IF(Tabla1[[#This Row],[dias_mora]]&gt;30,Tabla1[[#This Row],[saldo_cartera]],0)</f>
        <v>0</v>
      </c>
      <c r="T287">
        <f>Tabla1[[#This Row],[saldo_mora_30]]/Tabla1[[#This Row],[saldo_cartera]]</f>
        <v>0</v>
      </c>
      <c r="U287" t="str">
        <f>VLOOKUP(N287,asesores_ficticio!$A:$C,3,FALSE)</f>
        <v>Pereira</v>
      </c>
      <c r="V287" t="str">
        <f t="shared" si="4"/>
        <v>NO</v>
      </c>
    </row>
    <row r="288" spans="1:22" x14ac:dyDescent="0.3">
      <c r="A288" t="s">
        <v>332</v>
      </c>
      <c r="B288" t="s">
        <v>76</v>
      </c>
      <c r="C288" t="s">
        <v>77</v>
      </c>
      <c r="D288" s="1">
        <v>4846416</v>
      </c>
      <c r="E288" s="1">
        <v>-75707588</v>
      </c>
      <c r="F288" s="2">
        <v>44973</v>
      </c>
      <c r="G288" t="s">
        <v>385</v>
      </c>
      <c r="H288">
        <v>500000</v>
      </c>
      <c r="I288">
        <v>267424</v>
      </c>
      <c r="J288">
        <v>5</v>
      </c>
      <c r="K288" t="s">
        <v>17</v>
      </c>
      <c r="L288">
        <v>1600000</v>
      </c>
      <c r="M288" t="s">
        <v>18</v>
      </c>
      <c r="N288" t="s">
        <v>63</v>
      </c>
      <c r="O288" s="3" t="s">
        <v>371</v>
      </c>
      <c r="P288" s="3">
        <v>20</v>
      </c>
      <c r="Q288" t="s">
        <v>375</v>
      </c>
      <c r="R288" t="s">
        <v>373</v>
      </c>
      <c r="S288">
        <f>IF(Tabla1[[#This Row],[dias_mora]]&gt;30,Tabla1[[#This Row],[saldo_cartera]],0)</f>
        <v>0</v>
      </c>
      <c r="T288">
        <f>Tabla1[[#This Row],[saldo_mora_30]]/Tabla1[[#This Row],[saldo_cartera]]</f>
        <v>0</v>
      </c>
      <c r="U288" t="str">
        <f>VLOOKUP(N288,asesores_ficticio!$A:$C,3,FALSE)</f>
        <v>Bogotá</v>
      </c>
      <c r="V288" t="str">
        <f t="shared" si="4"/>
        <v>NO</v>
      </c>
    </row>
    <row r="289" spans="1:22" x14ac:dyDescent="0.3">
      <c r="A289" t="s">
        <v>333</v>
      </c>
      <c r="B289" t="s">
        <v>40</v>
      </c>
      <c r="C289" t="s">
        <v>41</v>
      </c>
      <c r="D289" s="1">
        <v>7194999</v>
      </c>
      <c r="E289" s="1">
        <v>-73145433</v>
      </c>
      <c r="F289" s="2">
        <v>45642</v>
      </c>
      <c r="G289" t="s">
        <v>382</v>
      </c>
      <c r="H289">
        <v>1800000</v>
      </c>
      <c r="I289">
        <v>631887</v>
      </c>
      <c r="J289">
        <v>0</v>
      </c>
      <c r="K289" t="s">
        <v>22</v>
      </c>
      <c r="L289">
        <v>2000000</v>
      </c>
      <c r="M289" t="s">
        <v>50</v>
      </c>
      <c r="N289" t="s">
        <v>61</v>
      </c>
      <c r="O289" s="3" t="s">
        <v>371</v>
      </c>
      <c r="P289" s="3">
        <v>40</v>
      </c>
      <c r="Q289" t="s">
        <v>372</v>
      </c>
      <c r="R289" t="s">
        <v>373</v>
      </c>
      <c r="S289">
        <f>IF(Tabla1[[#This Row],[dias_mora]]&gt;30,Tabla1[[#This Row],[saldo_cartera]],0)</f>
        <v>0</v>
      </c>
      <c r="T289">
        <f>Tabla1[[#This Row],[saldo_mora_30]]/Tabla1[[#This Row],[saldo_cartera]]</f>
        <v>0</v>
      </c>
      <c r="U289" t="str">
        <f>VLOOKUP(N289,asesores_ficticio!$A:$C,3,FALSE)</f>
        <v>Medellín</v>
      </c>
      <c r="V289" t="str">
        <f t="shared" si="4"/>
        <v>NO</v>
      </c>
    </row>
    <row r="290" spans="1:22" x14ac:dyDescent="0.3">
      <c r="A290" t="s">
        <v>334</v>
      </c>
      <c r="B290" t="s">
        <v>46</v>
      </c>
      <c r="C290" t="s">
        <v>21</v>
      </c>
      <c r="D290" s="1">
        <v>6402401</v>
      </c>
      <c r="E290" s="1">
        <v>-75504363</v>
      </c>
      <c r="F290" s="2">
        <v>45284</v>
      </c>
      <c r="G290" t="s">
        <v>384</v>
      </c>
      <c r="H290">
        <v>4000000</v>
      </c>
      <c r="I290">
        <v>2079954</v>
      </c>
      <c r="J290">
        <v>60</v>
      </c>
      <c r="K290" t="s">
        <v>27</v>
      </c>
      <c r="L290">
        <v>2800000</v>
      </c>
      <c r="M290" t="s">
        <v>18</v>
      </c>
      <c r="N290" t="s">
        <v>38</v>
      </c>
      <c r="O290" s="3" t="s">
        <v>371</v>
      </c>
      <c r="P290" s="3">
        <v>21</v>
      </c>
      <c r="Q290" t="s">
        <v>374</v>
      </c>
      <c r="R290" t="s">
        <v>373</v>
      </c>
      <c r="S290">
        <f>IF(Tabla1[[#This Row],[dias_mora]]&gt;30,Tabla1[[#This Row],[saldo_cartera]],0)</f>
        <v>2079954</v>
      </c>
      <c r="T290">
        <f>Tabla1[[#This Row],[saldo_mora_30]]/Tabla1[[#This Row],[saldo_cartera]]</f>
        <v>1</v>
      </c>
      <c r="U290" t="str">
        <f>VLOOKUP(N290,asesores_ficticio!$A:$C,3,FALSE)</f>
        <v>Barranquilla</v>
      </c>
      <c r="V290" t="str">
        <f t="shared" si="4"/>
        <v>NO</v>
      </c>
    </row>
    <row r="291" spans="1:22" x14ac:dyDescent="0.3">
      <c r="A291" t="s">
        <v>335</v>
      </c>
      <c r="B291" t="s">
        <v>381</v>
      </c>
      <c r="C291" t="s">
        <v>16</v>
      </c>
      <c r="D291" s="1">
        <v>467326</v>
      </c>
      <c r="E291" s="1">
        <v>-74144087</v>
      </c>
      <c r="F291" s="2">
        <v>45972</v>
      </c>
      <c r="G291" t="s">
        <v>383</v>
      </c>
      <c r="H291">
        <v>6000000</v>
      </c>
      <c r="I291">
        <v>1490979</v>
      </c>
      <c r="J291">
        <v>0</v>
      </c>
      <c r="K291" t="s">
        <v>48</v>
      </c>
      <c r="L291">
        <v>1600000</v>
      </c>
      <c r="M291" t="s">
        <v>50</v>
      </c>
      <c r="N291" t="s">
        <v>61</v>
      </c>
      <c r="O291" s="3" t="s">
        <v>370</v>
      </c>
      <c r="P291" s="3">
        <v>37</v>
      </c>
      <c r="Q291" t="s">
        <v>372</v>
      </c>
      <c r="R291" t="s">
        <v>373</v>
      </c>
      <c r="S291">
        <f>IF(Tabla1[[#This Row],[dias_mora]]&gt;30,Tabla1[[#This Row],[saldo_cartera]],0)</f>
        <v>0</v>
      </c>
      <c r="T291">
        <f>Tabla1[[#This Row],[saldo_mora_30]]/Tabla1[[#This Row],[saldo_cartera]]</f>
        <v>0</v>
      </c>
      <c r="U291" t="str">
        <f>VLOOKUP(N291,asesores_ficticio!$A:$C,3,FALSE)</f>
        <v>Medellín</v>
      </c>
      <c r="V291" t="str">
        <f t="shared" si="4"/>
        <v>NO</v>
      </c>
    </row>
    <row r="292" spans="1:22" x14ac:dyDescent="0.3">
      <c r="A292" t="s">
        <v>336</v>
      </c>
      <c r="B292" t="s">
        <v>379</v>
      </c>
      <c r="C292" t="s">
        <v>21</v>
      </c>
      <c r="D292" s="1">
        <v>630052</v>
      </c>
      <c r="E292" s="1">
        <v>-75555063</v>
      </c>
      <c r="F292" s="2">
        <v>45994</v>
      </c>
      <c r="G292" t="s">
        <v>382</v>
      </c>
      <c r="H292">
        <v>800000</v>
      </c>
      <c r="I292">
        <v>303489</v>
      </c>
      <c r="J292">
        <v>45</v>
      </c>
      <c r="K292" t="s">
        <v>27</v>
      </c>
      <c r="L292">
        <v>2800000</v>
      </c>
      <c r="M292" t="s">
        <v>18</v>
      </c>
      <c r="N292" t="s">
        <v>19</v>
      </c>
      <c r="O292" s="3" t="s">
        <v>371</v>
      </c>
      <c r="P292" s="3">
        <v>26</v>
      </c>
      <c r="Q292" t="s">
        <v>374</v>
      </c>
      <c r="R292" t="s">
        <v>373</v>
      </c>
      <c r="S292">
        <f>IF(Tabla1[[#This Row],[dias_mora]]&gt;30,Tabla1[[#This Row],[saldo_cartera]],0)</f>
        <v>303489</v>
      </c>
      <c r="T292">
        <f>Tabla1[[#This Row],[saldo_mora_30]]/Tabla1[[#This Row],[saldo_cartera]]</f>
        <v>1</v>
      </c>
      <c r="U292" t="str">
        <f>VLOOKUP(N292,asesores_ficticio!$A:$C,3,FALSE)</f>
        <v>Bello</v>
      </c>
      <c r="V292" t="str">
        <f t="shared" si="4"/>
        <v>NO</v>
      </c>
    </row>
    <row r="293" spans="1:22" x14ac:dyDescent="0.3">
      <c r="A293" t="s">
        <v>337</v>
      </c>
      <c r="B293" t="s">
        <v>70</v>
      </c>
      <c r="C293" t="s">
        <v>71</v>
      </c>
      <c r="D293" s="1">
        <v>343564</v>
      </c>
      <c r="E293" s="1">
        <v>-76538954</v>
      </c>
      <c r="F293" s="2">
        <v>45327</v>
      </c>
      <c r="G293" t="s">
        <v>384</v>
      </c>
      <c r="H293">
        <v>6000000</v>
      </c>
      <c r="I293">
        <v>2567149</v>
      </c>
      <c r="J293">
        <v>30</v>
      </c>
      <c r="K293" t="s">
        <v>22</v>
      </c>
      <c r="L293">
        <v>2000000</v>
      </c>
      <c r="M293" t="s">
        <v>50</v>
      </c>
      <c r="N293" t="s">
        <v>32</v>
      </c>
      <c r="O293" s="3" t="s">
        <v>370</v>
      </c>
      <c r="P293" s="3">
        <v>64</v>
      </c>
      <c r="Q293" t="s">
        <v>374</v>
      </c>
      <c r="R293" t="s">
        <v>373</v>
      </c>
      <c r="S293">
        <f>IF(Tabla1[[#This Row],[dias_mora]]&gt;30,Tabla1[[#This Row],[saldo_cartera]],0)</f>
        <v>0</v>
      </c>
      <c r="T293">
        <f>Tabla1[[#This Row],[saldo_mora_30]]/Tabla1[[#This Row],[saldo_cartera]]</f>
        <v>0</v>
      </c>
      <c r="U293" t="str">
        <f>VLOOKUP(N293,asesores_ficticio!$A:$C,3,FALSE)</f>
        <v>Cali</v>
      </c>
      <c r="V293" t="str">
        <f t="shared" si="4"/>
        <v>SI</v>
      </c>
    </row>
    <row r="294" spans="1:22" x14ac:dyDescent="0.3">
      <c r="A294" t="s">
        <v>338</v>
      </c>
      <c r="B294" t="s">
        <v>76</v>
      </c>
      <c r="C294" t="s">
        <v>77</v>
      </c>
      <c r="D294" s="1">
        <v>4811528</v>
      </c>
      <c r="E294" s="1">
        <v>-75683569</v>
      </c>
      <c r="F294" s="2">
        <v>45257</v>
      </c>
      <c r="G294" t="s">
        <v>385</v>
      </c>
      <c r="H294">
        <v>1800000</v>
      </c>
      <c r="I294">
        <v>457329</v>
      </c>
      <c r="J294">
        <v>0</v>
      </c>
      <c r="K294" t="s">
        <v>37</v>
      </c>
      <c r="L294">
        <v>1600000</v>
      </c>
      <c r="M294" t="s">
        <v>31</v>
      </c>
      <c r="N294" t="s">
        <v>19</v>
      </c>
      <c r="O294" s="3" t="s">
        <v>370</v>
      </c>
      <c r="P294" s="3">
        <v>38</v>
      </c>
      <c r="Q294" t="s">
        <v>372</v>
      </c>
      <c r="R294" t="s">
        <v>373</v>
      </c>
      <c r="S294">
        <f>IF(Tabla1[[#This Row],[dias_mora]]&gt;30,Tabla1[[#This Row],[saldo_cartera]],0)</f>
        <v>0</v>
      </c>
      <c r="T294">
        <f>Tabla1[[#This Row],[saldo_mora_30]]/Tabla1[[#This Row],[saldo_cartera]]</f>
        <v>0</v>
      </c>
      <c r="U294" t="str">
        <f>VLOOKUP(N294,asesores_ficticio!$A:$C,3,FALSE)</f>
        <v>Bello</v>
      </c>
      <c r="V294" t="str">
        <f t="shared" si="4"/>
        <v>NO</v>
      </c>
    </row>
    <row r="295" spans="1:22" x14ac:dyDescent="0.3">
      <c r="A295" t="s">
        <v>339</v>
      </c>
      <c r="B295" t="s">
        <v>70</v>
      </c>
      <c r="C295" t="s">
        <v>71</v>
      </c>
      <c r="D295" s="1">
        <v>344211</v>
      </c>
      <c r="E295" s="1">
        <v>-76601866</v>
      </c>
      <c r="F295" s="2">
        <v>45624</v>
      </c>
      <c r="G295" t="s">
        <v>382</v>
      </c>
      <c r="H295">
        <v>4000000</v>
      </c>
      <c r="I295">
        <v>1468409</v>
      </c>
      <c r="J295">
        <v>15</v>
      </c>
      <c r="K295" t="s">
        <v>17</v>
      </c>
      <c r="L295">
        <v>3500000</v>
      </c>
      <c r="M295" t="s">
        <v>28</v>
      </c>
      <c r="N295" t="s">
        <v>57</v>
      </c>
      <c r="O295" s="3" t="s">
        <v>370</v>
      </c>
      <c r="P295" s="3">
        <v>61</v>
      </c>
      <c r="Q295" t="s">
        <v>375</v>
      </c>
      <c r="R295" t="s">
        <v>378</v>
      </c>
      <c r="S295">
        <f>IF(Tabla1[[#This Row],[dias_mora]]&gt;30,Tabla1[[#This Row],[saldo_cartera]],0)</f>
        <v>0</v>
      </c>
      <c r="T295">
        <f>Tabla1[[#This Row],[saldo_mora_30]]/Tabla1[[#This Row],[saldo_cartera]]</f>
        <v>0</v>
      </c>
      <c r="U295" t="str">
        <f>VLOOKUP(N295,asesores_ficticio!$A:$C,3,FALSE)</f>
        <v>Pereira</v>
      </c>
      <c r="V295" t="str">
        <f t="shared" si="4"/>
        <v>NO</v>
      </c>
    </row>
    <row r="296" spans="1:22" x14ac:dyDescent="0.3">
      <c r="A296" t="s">
        <v>340</v>
      </c>
      <c r="B296" t="s">
        <v>46</v>
      </c>
      <c r="C296" t="s">
        <v>21</v>
      </c>
      <c r="D296" s="1">
        <v>6326556</v>
      </c>
      <c r="E296" s="1">
        <v>-75521736</v>
      </c>
      <c r="F296" s="2">
        <v>45555</v>
      </c>
      <c r="G296" t="s">
        <v>384</v>
      </c>
      <c r="H296">
        <v>1800000</v>
      </c>
      <c r="I296">
        <v>708997</v>
      </c>
      <c r="J296">
        <v>5</v>
      </c>
      <c r="K296" t="s">
        <v>48</v>
      </c>
      <c r="L296">
        <v>2000000</v>
      </c>
      <c r="M296" t="s">
        <v>18</v>
      </c>
      <c r="N296" t="s">
        <v>35</v>
      </c>
      <c r="O296" s="3" t="s">
        <v>371</v>
      </c>
      <c r="P296" s="3">
        <v>62</v>
      </c>
      <c r="Q296" t="s">
        <v>375</v>
      </c>
      <c r="R296" t="s">
        <v>373</v>
      </c>
      <c r="S296">
        <f>IF(Tabla1[[#This Row],[dias_mora]]&gt;30,Tabla1[[#This Row],[saldo_cartera]],0)</f>
        <v>0</v>
      </c>
      <c r="T296">
        <f>Tabla1[[#This Row],[saldo_mora_30]]/Tabla1[[#This Row],[saldo_cartera]]</f>
        <v>0</v>
      </c>
      <c r="U296" t="str">
        <f>VLOOKUP(N296,asesores_ficticio!$A:$C,3,FALSE)</f>
        <v>Bucaramanga</v>
      </c>
      <c r="V296" t="str">
        <f t="shared" si="4"/>
        <v>NO</v>
      </c>
    </row>
    <row r="297" spans="1:22" x14ac:dyDescent="0.3">
      <c r="A297" t="s">
        <v>341</v>
      </c>
      <c r="B297" t="s">
        <v>34</v>
      </c>
      <c r="C297" t="s">
        <v>386</v>
      </c>
      <c r="D297" s="1">
        <v>11020199</v>
      </c>
      <c r="E297" s="1">
        <v>-74737293</v>
      </c>
      <c r="F297" s="2">
        <v>45674</v>
      </c>
      <c r="G297" t="s">
        <v>385</v>
      </c>
      <c r="H297">
        <v>500000</v>
      </c>
      <c r="I297">
        <v>369358</v>
      </c>
      <c r="J297">
        <v>0</v>
      </c>
      <c r="K297" t="s">
        <v>17</v>
      </c>
      <c r="L297">
        <v>1600000</v>
      </c>
      <c r="M297" t="s">
        <v>31</v>
      </c>
      <c r="N297" t="s">
        <v>32</v>
      </c>
      <c r="O297" s="3" t="s">
        <v>370</v>
      </c>
      <c r="P297" s="3">
        <v>50</v>
      </c>
      <c r="Q297" t="s">
        <v>377</v>
      </c>
      <c r="R297" t="s">
        <v>373</v>
      </c>
      <c r="S297">
        <f>IF(Tabla1[[#This Row],[dias_mora]]&gt;30,Tabla1[[#This Row],[saldo_cartera]],0)</f>
        <v>0</v>
      </c>
      <c r="T297">
        <f>Tabla1[[#This Row],[saldo_mora_30]]/Tabla1[[#This Row],[saldo_cartera]]</f>
        <v>0</v>
      </c>
      <c r="U297" t="str">
        <f>VLOOKUP(N297,asesores_ficticio!$A:$C,3,FALSE)</f>
        <v>Cali</v>
      </c>
      <c r="V297" t="str">
        <f t="shared" si="4"/>
        <v>NO</v>
      </c>
    </row>
    <row r="298" spans="1:22" x14ac:dyDescent="0.3">
      <c r="A298" t="s">
        <v>342</v>
      </c>
      <c r="B298" t="s">
        <v>26</v>
      </c>
      <c r="C298" t="s">
        <v>21</v>
      </c>
      <c r="D298" s="1">
        <v>6087413</v>
      </c>
      <c r="E298" s="1">
        <v>-7538353</v>
      </c>
      <c r="F298" s="2">
        <v>45704</v>
      </c>
      <c r="G298" t="s">
        <v>384</v>
      </c>
      <c r="H298">
        <v>2500000</v>
      </c>
      <c r="I298">
        <v>1202209</v>
      </c>
      <c r="J298">
        <v>30</v>
      </c>
      <c r="K298" t="s">
        <v>48</v>
      </c>
      <c r="L298">
        <v>2000000</v>
      </c>
      <c r="M298" t="s">
        <v>31</v>
      </c>
      <c r="N298" t="s">
        <v>32</v>
      </c>
      <c r="O298" s="3" t="s">
        <v>371</v>
      </c>
      <c r="P298" s="3">
        <v>51</v>
      </c>
      <c r="Q298" t="s">
        <v>374</v>
      </c>
      <c r="R298" t="s">
        <v>373</v>
      </c>
      <c r="S298">
        <f>IF(Tabla1[[#This Row],[dias_mora]]&gt;30,Tabla1[[#This Row],[saldo_cartera]],0)</f>
        <v>0</v>
      </c>
      <c r="T298">
        <f>Tabla1[[#This Row],[saldo_mora_30]]/Tabla1[[#This Row],[saldo_cartera]]</f>
        <v>0</v>
      </c>
      <c r="U298" t="str">
        <f>VLOOKUP(N298,asesores_ficticio!$A:$C,3,FALSE)</f>
        <v>Cali</v>
      </c>
      <c r="V298" t="str">
        <f t="shared" si="4"/>
        <v>NO</v>
      </c>
    </row>
    <row r="299" spans="1:22" x14ac:dyDescent="0.3">
      <c r="A299" t="s">
        <v>343</v>
      </c>
      <c r="B299" t="s">
        <v>379</v>
      </c>
      <c r="C299" t="s">
        <v>21</v>
      </c>
      <c r="D299" s="1">
        <v>6253341</v>
      </c>
      <c r="E299" s="1">
        <v>-75661173</v>
      </c>
      <c r="F299" s="2">
        <v>45918</v>
      </c>
      <c r="G299" t="s">
        <v>385</v>
      </c>
      <c r="H299">
        <v>500000</v>
      </c>
      <c r="I299">
        <v>386508</v>
      </c>
      <c r="J299">
        <v>90</v>
      </c>
      <c r="K299" t="s">
        <v>37</v>
      </c>
      <c r="L299">
        <v>3500000</v>
      </c>
      <c r="M299" t="s">
        <v>23</v>
      </c>
      <c r="N299" t="s">
        <v>24</v>
      </c>
      <c r="O299" s="3" t="s">
        <v>371</v>
      </c>
      <c r="P299" s="3">
        <v>25</v>
      </c>
      <c r="Q299" t="s">
        <v>374</v>
      </c>
      <c r="R299" t="s">
        <v>378</v>
      </c>
      <c r="S299">
        <f>IF(Tabla1[[#This Row],[dias_mora]]&gt;30,Tabla1[[#This Row],[saldo_cartera]],0)</f>
        <v>386508</v>
      </c>
      <c r="T299">
        <f>Tabla1[[#This Row],[saldo_mora_30]]/Tabla1[[#This Row],[saldo_cartera]]</f>
        <v>1</v>
      </c>
      <c r="U299" t="str">
        <f>VLOOKUP(N299,asesores_ficticio!$A:$C,3,FALSE)</f>
        <v>Soacha</v>
      </c>
      <c r="V299" t="str">
        <f t="shared" si="4"/>
        <v>NO</v>
      </c>
    </row>
    <row r="300" spans="1:22" x14ac:dyDescent="0.3">
      <c r="A300" t="s">
        <v>344</v>
      </c>
      <c r="B300" t="s">
        <v>379</v>
      </c>
      <c r="C300" t="s">
        <v>21</v>
      </c>
      <c r="D300" s="1">
        <v>6294854</v>
      </c>
      <c r="E300" s="1">
        <v>-75526109</v>
      </c>
      <c r="F300" s="2">
        <v>46006</v>
      </c>
      <c r="G300" t="s">
        <v>384</v>
      </c>
      <c r="H300">
        <v>1200000</v>
      </c>
      <c r="I300">
        <v>691354</v>
      </c>
      <c r="J300">
        <v>5</v>
      </c>
      <c r="K300" t="s">
        <v>48</v>
      </c>
      <c r="L300">
        <v>2000000</v>
      </c>
      <c r="M300" t="s">
        <v>18</v>
      </c>
      <c r="N300" t="s">
        <v>61</v>
      </c>
      <c r="O300" s="3" t="s">
        <v>370</v>
      </c>
      <c r="P300" s="3">
        <v>26</v>
      </c>
      <c r="Q300" t="s">
        <v>375</v>
      </c>
      <c r="R300" t="s">
        <v>373</v>
      </c>
      <c r="S300">
        <f>IF(Tabla1[[#This Row],[dias_mora]]&gt;30,Tabla1[[#This Row],[saldo_cartera]],0)</f>
        <v>0</v>
      </c>
      <c r="T300">
        <f>Tabla1[[#This Row],[saldo_mora_30]]/Tabla1[[#This Row],[saldo_cartera]]</f>
        <v>0</v>
      </c>
      <c r="U300" t="str">
        <f>VLOOKUP(N300,asesores_ficticio!$A:$C,3,FALSE)</f>
        <v>Medellín</v>
      </c>
      <c r="V300" t="str">
        <f t="shared" si="4"/>
        <v>SI</v>
      </c>
    </row>
    <row r="301" spans="1:22" x14ac:dyDescent="0.3">
      <c r="A301" t="s">
        <v>345</v>
      </c>
      <c r="B301" t="s">
        <v>15</v>
      </c>
      <c r="C301" t="s">
        <v>16</v>
      </c>
      <c r="D301" s="1">
        <v>4556122</v>
      </c>
      <c r="E301" s="1">
        <v>-74195214</v>
      </c>
      <c r="F301" s="2">
        <v>44932</v>
      </c>
      <c r="G301" t="s">
        <v>383</v>
      </c>
      <c r="H301">
        <v>6000000</v>
      </c>
      <c r="I301">
        <v>2089116</v>
      </c>
      <c r="J301">
        <v>0</v>
      </c>
      <c r="K301" t="s">
        <v>22</v>
      </c>
      <c r="L301">
        <v>3500000</v>
      </c>
      <c r="M301" t="s">
        <v>31</v>
      </c>
      <c r="N301" t="s">
        <v>19</v>
      </c>
      <c r="O301" s="3" t="s">
        <v>371</v>
      </c>
      <c r="P301" s="3">
        <v>46</v>
      </c>
      <c r="Q301" t="s">
        <v>372</v>
      </c>
      <c r="R301" t="s">
        <v>378</v>
      </c>
      <c r="S301">
        <f>IF(Tabla1[[#This Row],[dias_mora]]&gt;30,Tabla1[[#This Row],[saldo_cartera]],0)</f>
        <v>0</v>
      </c>
      <c r="T301">
        <f>Tabla1[[#This Row],[saldo_mora_30]]/Tabla1[[#This Row],[saldo_cartera]]</f>
        <v>0</v>
      </c>
      <c r="U301" t="str">
        <f>VLOOKUP(N301,asesores_ficticio!$A:$C,3,FALSE)</f>
        <v>Bello</v>
      </c>
      <c r="V301" t="str">
        <f t="shared" si="4"/>
        <v>NO</v>
      </c>
    </row>
    <row r="302" spans="1:22" x14ac:dyDescent="0.3">
      <c r="A302" t="s">
        <v>346</v>
      </c>
      <c r="B302" t="s">
        <v>381</v>
      </c>
      <c r="C302" t="s">
        <v>16</v>
      </c>
      <c r="D302" s="1">
        <v>4728736</v>
      </c>
      <c r="E302" s="1">
        <v>-74122093</v>
      </c>
      <c r="F302" s="2">
        <v>45713</v>
      </c>
      <c r="G302" t="s">
        <v>383</v>
      </c>
      <c r="H302">
        <v>6000000</v>
      </c>
      <c r="I302">
        <v>2603772</v>
      </c>
      <c r="J302">
        <v>0</v>
      </c>
      <c r="K302" t="s">
        <v>48</v>
      </c>
      <c r="L302">
        <v>1300000</v>
      </c>
      <c r="M302" t="s">
        <v>28</v>
      </c>
      <c r="N302" t="s">
        <v>19</v>
      </c>
      <c r="O302" s="3" t="s">
        <v>371</v>
      </c>
      <c r="P302" s="3">
        <v>21</v>
      </c>
      <c r="Q302" t="s">
        <v>372</v>
      </c>
      <c r="R302" t="s">
        <v>376</v>
      </c>
      <c r="S302">
        <f>IF(Tabla1[[#This Row],[dias_mora]]&gt;30,Tabla1[[#This Row],[saldo_cartera]],0)</f>
        <v>0</v>
      </c>
      <c r="T302">
        <f>Tabla1[[#This Row],[saldo_mora_30]]/Tabla1[[#This Row],[saldo_cartera]]</f>
        <v>0</v>
      </c>
      <c r="U302" t="str">
        <f>VLOOKUP(N302,asesores_ficticio!$A:$C,3,FALSE)</f>
        <v>Bello</v>
      </c>
      <c r="V302" t="str">
        <f t="shared" si="4"/>
        <v>NO</v>
      </c>
    </row>
    <row r="303" spans="1:22" x14ac:dyDescent="0.3">
      <c r="A303" t="s">
        <v>347</v>
      </c>
      <c r="B303" t="s">
        <v>34</v>
      </c>
      <c r="C303" t="s">
        <v>386</v>
      </c>
      <c r="D303" s="1">
        <v>10957082</v>
      </c>
      <c r="E303" s="1">
        <v>-74782109</v>
      </c>
      <c r="F303" s="2">
        <v>45183</v>
      </c>
      <c r="G303" t="s">
        <v>383</v>
      </c>
      <c r="H303">
        <v>2500000</v>
      </c>
      <c r="I303">
        <v>536102</v>
      </c>
      <c r="J303">
        <v>0</v>
      </c>
      <c r="K303" t="s">
        <v>17</v>
      </c>
      <c r="L303">
        <v>2800000</v>
      </c>
      <c r="M303" t="s">
        <v>18</v>
      </c>
      <c r="N303" t="s">
        <v>57</v>
      </c>
      <c r="O303" s="3" t="s">
        <v>370</v>
      </c>
      <c r="P303" s="3">
        <v>39</v>
      </c>
      <c r="Q303" t="s">
        <v>372</v>
      </c>
      <c r="R303" t="s">
        <v>373</v>
      </c>
      <c r="S303">
        <f>IF(Tabla1[[#This Row],[dias_mora]]&gt;30,Tabla1[[#This Row],[saldo_cartera]],0)</f>
        <v>0</v>
      </c>
      <c r="T303">
        <f>Tabla1[[#This Row],[saldo_mora_30]]/Tabla1[[#This Row],[saldo_cartera]]</f>
        <v>0</v>
      </c>
      <c r="U303" t="str">
        <f>VLOOKUP(N303,asesores_ficticio!$A:$C,3,FALSE)</f>
        <v>Pereira</v>
      </c>
      <c r="V303" t="str">
        <f t="shared" si="4"/>
        <v>NO</v>
      </c>
    </row>
    <row r="304" spans="1:22" x14ac:dyDescent="0.3">
      <c r="A304" t="s">
        <v>348</v>
      </c>
      <c r="B304" t="s">
        <v>380</v>
      </c>
      <c r="C304" t="s">
        <v>21</v>
      </c>
      <c r="D304" s="1">
        <v>6208779</v>
      </c>
      <c r="E304" s="1">
        <v>-75671659</v>
      </c>
      <c r="F304" s="2">
        <v>46223</v>
      </c>
      <c r="G304" t="s">
        <v>385</v>
      </c>
      <c r="H304">
        <v>1800000</v>
      </c>
      <c r="I304">
        <v>1186008</v>
      </c>
      <c r="J304">
        <v>5</v>
      </c>
      <c r="K304" t="s">
        <v>27</v>
      </c>
      <c r="L304">
        <v>1600000</v>
      </c>
      <c r="M304" t="s">
        <v>31</v>
      </c>
      <c r="N304" t="s">
        <v>24</v>
      </c>
      <c r="O304" s="3" t="s">
        <v>371</v>
      </c>
      <c r="P304" s="3">
        <v>64</v>
      </c>
      <c r="Q304" t="s">
        <v>375</v>
      </c>
      <c r="R304" t="s">
        <v>373</v>
      </c>
      <c r="S304">
        <f>IF(Tabla1[[#This Row],[dias_mora]]&gt;30,Tabla1[[#This Row],[saldo_cartera]],0)</f>
        <v>0</v>
      </c>
      <c r="T304">
        <f>Tabla1[[#This Row],[saldo_mora_30]]/Tabla1[[#This Row],[saldo_cartera]]</f>
        <v>0</v>
      </c>
      <c r="U304" t="str">
        <f>VLOOKUP(N304,asesores_ficticio!$A:$C,3,FALSE)</f>
        <v>Soacha</v>
      </c>
      <c r="V304" t="str">
        <f t="shared" si="4"/>
        <v>NO</v>
      </c>
    </row>
    <row r="305" spans="1:22" x14ac:dyDescent="0.3">
      <c r="A305" t="s">
        <v>349</v>
      </c>
      <c r="B305" t="s">
        <v>381</v>
      </c>
      <c r="C305" t="s">
        <v>16</v>
      </c>
      <c r="D305" s="1">
        <v>4703455</v>
      </c>
      <c r="E305" s="1">
        <v>-74130761</v>
      </c>
      <c r="F305" s="2">
        <v>46009</v>
      </c>
      <c r="G305" t="s">
        <v>382</v>
      </c>
      <c r="H305">
        <v>1800000</v>
      </c>
      <c r="I305">
        <v>1101862</v>
      </c>
      <c r="J305">
        <v>45</v>
      </c>
      <c r="K305" t="s">
        <v>17</v>
      </c>
      <c r="L305">
        <v>2800000</v>
      </c>
      <c r="M305" t="s">
        <v>18</v>
      </c>
      <c r="N305" t="s">
        <v>29</v>
      </c>
      <c r="O305" s="3" t="s">
        <v>370</v>
      </c>
      <c r="P305" s="3">
        <v>45</v>
      </c>
      <c r="Q305" t="s">
        <v>374</v>
      </c>
      <c r="R305" t="s">
        <v>373</v>
      </c>
      <c r="S305">
        <f>IF(Tabla1[[#This Row],[dias_mora]]&gt;30,Tabla1[[#This Row],[saldo_cartera]],0)</f>
        <v>1101862</v>
      </c>
      <c r="T305">
        <f>Tabla1[[#This Row],[saldo_mora_30]]/Tabla1[[#This Row],[saldo_cartera]]</f>
        <v>1</v>
      </c>
      <c r="U305" t="str">
        <f>VLOOKUP(N305,asesores_ficticio!$A:$C,3,FALSE)</f>
        <v>Rionegro</v>
      </c>
      <c r="V305" t="str">
        <f t="shared" si="4"/>
        <v>NO</v>
      </c>
    </row>
    <row r="306" spans="1:22" x14ac:dyDescent="0.3">
      <c r="A306" t="s">
        <v>350</v>
      </c>
      <c r="B306" t="s">
        <v>26</v>
      </c>
      <c r="C306" t="s">
        <v>21</v>
      </c>
      <c r="D306" s="1">
        <v>6174667</v>
      </c>
      <c r="E306" s="1">
        <v>-75408107</v>
      </c>
      <c r="F306" s="2">
        <v>45553</v>
      </c>
      <c r="G306" t="s">
        <v>382</v>
      </c>
      <c r="H306">
        <v>1200000</v>
      </c>
      <c r="I306">
        <v>1059616</v>
      </c>
      <c r="J306">
        <v>0</v>
      </c>
      <c r="K306" t="s">
        <v>48</v>
      </c>
      <c r="L306">
        <v>3500000</v>
      </c>
      <c r="M306" t="s">
        <v>23</v>
      </c>
      <c r="N306" t="s">
        <v>35</v>
      </c>
      <c r="O306" s="3" t="s">
        <v>370</v>
      </c>
      <c r="P306" s="3">
        <v>34</v>
      </c>
      <c r="Q306" t="s">
        <v>377</v>
      </c>
      <c r="R306" t="s">
        <v>378</v>
      </c>
      <c r="S306">
        <f>IF(Tabla1[[#This Row],[dias_mora]]&gt;30,Tabla1[[#This Row],[saldo_cartera]],0)</f>
        <v>0</v>
      </c>
      <c r="T306">
        <f>Tabla1[[#This Row],[saldo_mora_30]]/Tabla1[[#This Row],[saldo_cartera]]</f>
        <v>0</v>
      </c>
      <c r="U306" t="str">
        <f>VLOOKUP(N306,asesores_ficticio!$A:$C,3,FALSE)</f>
        <v>Bucaramanga</v>
      </c>
      <c r="V306" t="str">
        <f t="shared" si="4"/>
        <v>NO</v>
      </c>
    </row>
    <row r="307" spans="1:22" x14ac:dyDescent="0.3">
      <c r="A307" t="s">
        <v>351</v>
      </c>
      <c r="B307" t="s">
        <v>34</v>
      </c>
      <c r="C307" t="s">
        <v>386</v>
      </c>
      <c r="D307" s="1">
        <v>10977149</v>
      </c>
      <c r="E307" s="1">
        <v>-74725572</v>
      </c>
      <c r="F307" s="2">
        <v>45864</v>
      </c>
      <c r="G307" t="s">
        <v>384</v>
      </c>
      <c r="H307">
        <v>4000000</v>
      </c>
      <c r="I307">
        <v>1819425</v>
      </c>
      <c r="J307">
        <v>15</v>
      </c>
      <c r="K307" t="s">
        <v>17</v>
      </c>
      <c r="L307">
        <v>2800000</v>
      </c>
      <c r="M307" t="s">
        <v>50</v>
      </c>
      <c r="N307" t="s">
        <v>61</v>
      </c>
      <c r="O307" s="3" t="s">
        <v>371</v>
      </c>
      <c r="P307" s="3">
        <v>39</v>
      </c>
      <c r="Q307" t="s">
        <v>375</v>
      </c>
      <c r="R307" t="s">
        <v>373</v>
      </c>
      <c r="S307">
        <f>IF(Tabla1[[#This Row],[dias_mora]]&gt;30,Tabla1[[#This Row],[saldo_cartera]],0)</f>
        <v>0</v>
      </c>
      <c r="T307">
        <f>Tabla1[[#This Row],[saldo_mora_30]]/Tabla1[[#This Row],[saldo_cartera]]</f>
        <v>0</v>
      </c>
      <c r="U307" t="str">
        <f>VLOOKUP(N307,asesores_ficticio!$A:$C,3,FALSE)</f>
        <v>Medellín</v>
      </c>
      <c r="V307" t="str">
        <f t="shared" si="4"/>
        <v>NO</v>
      </c>
    </row>
    <row r="308" spans="1:22" x14ac:dyDescent="0.3">
      <c r="A308" t="s">
        <v>352</v>
      </c>
      <c r="B308" t="s">
        <v>70</v>
      </c>
      <c r="C308" t="s">
        <v>71</v>
      </c>
      <c r="D308" s="1">
        <v>3394852</v>
      </c>
      <c r="E308" s="1">
        <v>-76504759</v>
      </c>
      <c r="F308" s="2">
        <v>45743</v>
      </c>
      <c r="G308" t="s">
        <v>384</v>
      </c>
      <c r="H308">
        <v>800000</v>
      </c>
      <c r="I308">
        <v>261545</v>
      </c>
      <c r="J308">
        <v>30</v>
      </c>
      <c r="K308" t="s">
        <v>27</v>
      </c>
      <c r="L308">
        <v>1600000</v>
      </c>
      <c r="M308" t="s">
        <v>18</v>
      </c>
      <c r="N308" t="s">
        <v>35</v>
      </c>
      <c r="O308" s="3" t="s">
        <v>371</v>
      </c>
      <c r="P308" s="3">
        <v>44</v>
      </c>
      <c r="Q308" t="s">
        <v>374</v>
      </c>
      <c r="R308" t="s">
        <v>373</v>
      </c>
      <c r="S308">
        <f>IF(Tabla1[[#This Row],[dias_mora]]&gt;30,Tabla1[[#This Row],[saldo_cartera]],0)</f>
        <v>0</v>
      </c>
      <c r="T308">
        <f>Tabla1[[#This Row],[saldo_mora_30]]/Tabla1[[#This Row],[saldo_cartera]]</f>
        <v>0</v>
      </c>
      <c r="U308" t="str">
        <f>VLOOKUP(N308,asesores_ficticio!$A:$C,3,FALSE)</f>
        <v>Bucaramanga</v>
      </c>
      <c r="V308" t="str">
        <f t="shared" si="4"/>
        <v>NO</v>
      </c>
    </row>
    <row r="309" spans="1:22" x14ac:dyDescent="0.3">
      <c r="A309" t="s">
        <v>353</v>
      </c>
      <c r="B309" t="s">
        <v>379</v>
      </c>
      <c r="C309" t="s">
        <v>21</v>
      </c>
      <c r="D309" s="1">
        <v>6221589</v>
      </c>
      <c r="E309" s="1">
        <v>-75588785</v>
      </c>
      <c r="F309" s="2">
        <v>46129</v>
      </c>
      <c r="G309" t="s">
        <v>382</v>
      </c>
      <c r="H309">
        <v>2500000</v>
      </c>
      <c r="I309">
        <v>2094575</v>
      </c>
      <c r="J309">
        <v>15</v>
      </c>
      <c r="K309" t="s">
        <v>48</v>
      </c>
      <c r="L309">
        <v>1300000</v>
      </c>
      <c r="M309" t="s">
        <v>31</v>
      </c>
      <c r="N309" t="s">
        <v>32</v>
      </c>
      <c r="O309" s="3" t="s">
        <v>370</v>
      </c>
      <c r="P309" s="3">
        <v>36</v>
      </c>
      <c r="Q309" t="s">
        <v>375</v>
      </c>
      <c r="R309" t="s">
        <v>376</v>
      </c>
      <c r="S309">
        <f>IF(Tabla1[[#This Row],[dias_mora]]&gt;30,Tabla1[[#This Row],[saldo_cartera]],0)</f>
        <v>0</v>
      </c>
      <c r="T309">
        <f>Tabla1[[#This Row],[saldo_mora_30]]/Tabla1[[#This Row],[saldo_cartera]]</f>
        <v>0</v>
      </c>
      <c r="U309" t="str">
        <f>VLOOKUP(N309,asesores_ficticio!$A:$C,3,FALSE)</f>
        <v>Cali</v>
      </c>
      <c r="V309" t="str">
        <f t="shared" si="4"/>
        <v>NO</v>
      </c>
    </row>
    <row r="310" spans="1:22" x14ac:dyDescent="0.3">
      <c r="A310" t="s">
        <v>354</v>
      </c>
      <c r="B310" t="s">
        <v>70</v>
      </c>
      <c r="C310" t="s">
        <v>71</v>
      </c>
      <c r="D310" s="1">
        <v>3524672</v>
      </c>
      <c r="E310" s="1">
        <v>-76455868</v>
      </c>
      <c r="F310" s="2">
        <v>45767</v>
      </c>
      <c r="G310" t="s">
        <v>383</v>
      </c>
      <c r="H310">
        <v>1200000</v>
      </c>
      <c r="I310">
        <v>1105150</v>
      </c>
      <c r="J310">
        <v>0</v>
      </c>
      <c r="K310" t="s">
        <v>22</v>
      </c>
      <c r="L310">
        <v>3500000</v>
      </c>
      <c r="M310" t="s">
        <v>23</v>
      </c>
      <c r="N310" t="s">
        <v>57</v>
      </c>
      <c r="O310" s="3" t="s">
        <v>370</v>
      </c>
      <c r="P310" s="3">
        <v>42</v>
      </c>
      <c r="Q310" t="s">
        <v>377</v>
      </c>
      <c r="R310" t="s">
        <v>378</v>
      </c>
      <c r="S310">
        <f>IF(Tabla1[[#This Row],[dias_mora]]&gt;30,Tabla1[[#This Row],[saldo_cartera]],0)</f>
        <v>0</v>
      </c>
      <c r="T310">
        <f>Tabla1[[#This Row],[saldo_mora_30]]/Tabla1[[#This Row],[saldo_cartera]]</f>
        <v>0</v>
      </c>
      <c r="U310" t="str">
        <f>VLOOKUP(N310,asesores_ficticio!$A:$C,3,FALSE)</f>
        <v>Pereira</v>
      </c>
      <c r="V310" t="str">
        <f t="shared" si="4"/>
        <v>NO</v>
      </c>
    </row>
    <row r="311" spans="1:22" x14ac:dyDescent="0.3">
      <c r="A311" t="s">
        <v>355</v>
      </c>
      <c r="B311" t="s">
        <v>40</v>
      </c>
      <c r="C311" t="s">
        <v>41</v>
      </c>
      <c r="D311" s="1">
        <v>7157452</v>
      </c>
      <c r="E311" s="1">
        <v>-73171265</v>
      </c>
      <c r="F311" s="2">
        <v>44991</v>
      </c>
      <c r="G311" t="s">
        <v>384</v>
      </c>
      <c r="H311">
        <v>4000000</v>
      </c>
      <c r="I311">
        <v>3678585</v>
      </c>
      <c r="J311">
        <v>0</v>
      </c>
      <c r="K311" t="s">
        <v>37</v>
      </c>
      <c r="L311">
        <v>1300000</v>
      </c>
      <c r="M311" t="s">
        <v>50</v>
      </c>
      <c r="N311" t="s">
        <v>32</v>
      </c>
      <c r="O311" s="3" t="s">
        <v>371</v>
      </c>
      <c r="P311" s="3">
        <v>62</v>
      </c>
      <c r="Q311" t="s">
        <v>377</v>
      </c>
      <c r="R311" t="s">
        <v>376</v>
      </c>
      <c r="S311">
        <f>IF(Tabla1[[#This Row],[dias_mora]]&gt;30,Tabla1[[#This Row],[saldo_cartera]],0)</f>
        <v>0</v>
      </c>
      <c r="T311">
        <f>Tabla1[[#This Row],[saldo_mora_30]]/Tabla1[[#This Row],[saldo_cartera]]</f>
        <v>0</v>
      </c>
      <c r="U311" t="str">
        <f>VLOOKUP(N311,asesores_ficticio!$A:$C,3,FALSE)</f>
        <v>Cali</v>
      </c>
      <c r="V311" t="str">
        <f t="shared" si="4"/>
        <v>NO</v>
      </c>
    </row>
    <row r="312" spans="1:22" x14ac:dyDescent="0.3">
      <c r="A312" t="s">
        <v>356</v>
      </c>
      <c r="B312" t="s">
        <v>381</v>
      </c>
      <c r="C312" t="s">
        <v>16</v>
      </c>
      <c r="D312" s="1">
        <v>4720056</v>
      </c>
      <c r="E312" s="1">
        <v>-74131289</v>
      </c>
      <c r="F312" s="2">
        <v>45296</v>
      </c>
      <c r="G312" t="s">
        <v>382</v>
      </c>
      <c r="H312">
        <v>2500000</v>
      </c>
      <c r="I312">
        <v>2047780</v>
      </c>
      <c r="J312">
        <v>0</v>
      </c>
      <c r="K312" t="s">
        <v>17</v>
      </c>
      <c r="L312">
        <v>2000000</v>
      </c>
      <c r="M312" t="s">
        <v>50</v>
      </c>
      <c r="N312" t="s">
        <v>57</v>
      </c>
      <c r="O312" s="3" t="s">
        <v>370</v>
      </c>
      <c r="P312" s="3">
        <v>47</v>
      </c>
      <c r="Q312" t="s">
        <v>377</v>
      </c>
      <c r="R312" t="s">
        <v>373</v>
      </c>
      <c r="S312">
        <f>IF(Tabla1[[#This Row],[dias_mora]]&gt;30,Tabla1[[#This Row],[saldo_cartera]],0)</f>
        <v>0</v>
      </c>
      <c r="T312">
        <f>Tabla1[[#This Row],[saldo_mora_30]]/Tabla1[[#This Row],[saldo_cartera]]</f>
        <v>0</v>
      </c>
      <c r="U312" t="str">
        <f>VLOOKUP(N312,asesores_ficticio!$A:$C,3,FALSE)</f>
        <v>Pereira</v>
      </c>
      <c r="V312" t="str">
        <f t="shared" si="4"/>
        <v>NO</v>
      </c>
    </row>
    <row r="313" spans="1:22" x14ac:dyDescent="0.3">
      <c r="A313" t="s">
        <v>357</v>
      </c>
      <c r="B313" t="s">
        <v>381</v>
      </c>
      <c r="C313" t="s">
        <v>16</v>
      </c>
      <c r="D313" s="1">
        <v>4709488</v>
      </c>
      <c r="E313" s="1">
        <v>-74060472</v>
      </c>
      <c r="F313" s="2">
        <v>45368</v>
      </c>
      <c r="G313" t="s">
        <v>384</v>
      </c>
      <c r="H313">
        <v>1200000</v>
      </c>
      <c r="I313">
        <v>194338</v>
      </c>
      <c r="J313">
        <v>15</v>
      </c>
      <c r="K313" t="s">
        <v>17</v>
      </c>
      <c r="L313">
        <v>2800000</v>
      </c>
      <c r="M313" t="s">
        <v>18</v>
      </c>
      <c r="N313" t="s">
        <v>32</v>
      </c>
      <c r="O313" s="3" t="s">
        <v>371</v>
      </c>
      <c r="P313" s="3">
        <v>58</v>
      </c>
      <c r="Q313" t="s">
        <v>375</v>
      </c>
      <c r="R313" t="s">
        <v>373</v>
      </c>
      <c r="S313">
        <f>IF(Tabla1[[#This Row],[dias_mora]]&gt;30,Tabla1[[#This Row],[saldo_cartera]],0)</f>
        <v>0</v>
      </c>
      <c r="T313">
        <f>Tabla1[[#This Row],[saldo_mora_30]]/Tabla1[[#This Row],[saldo_cartera]]</f>
        <v>0</v>
      </c>
      <c r="U313" t="str">
        <f>VLOOKUP(N313,asesores_ficticio!$A:$C,3,FALSE)</f>
        <v>Cali</v>
      </c>
      <c r="V313" t="str">
        <f t="shared" si="4"/>
        <v>NO</v>
      </c>
    </row>
    <row r="314" spans="1:22" x14ac:dyDescent="0.3">
      <c r="A314" t="s">
        <v>358</v>
      </c>
      <c r="B314" t="s">
        <v>40</v>
      </c>
      <c r="C314" t="s">
        <v>41</v>
      </c>
      <c r="D314" s="1">
        <v>7125226</v>
      </c>
      <c r="E314" s="1">
        <v>-73187989</v>
      </c>
      <c r="F314" s="2">
        <v>45784</v>
      </c>
      <c r="G314" t="s">
        <v>383</v>
      </c>
      <c r="H314">
        <v>800000</v>
      </c>
      <c r="I314">
        <v>680710</v>
      </c>
      <c r="J314">
        <v>5</v>
      </c>
      <c r="K314" t="s">
        <v>17</v>
      </c>
      <c r="L314">
        <v>1600000</v>
      </c>
      <c r="M314" t="s">
        <v>50</v>
      </c>
      <c r="N314" t="s">
        <v>19</v>
      </c>
      <c r="O314" s="3" t="s">
        <v>371</v>
      </c>
      <c r="P314" s="3">
        <v>35</v>
      </c>
      <c r="Q314" t="s">
        <v>375</v>
      </c>
      <c r="R314" t="s">
        <v>373</v>
      </c>
      <c r="S314">
        <f>IF(Tabla1[[#This Row],[dias_mora]]&gt;30,Tabla1[[#This Row],[saldo_cartera]],0)</f>
        <v>0</v>
      </c>
      <c r="T314">
        <f>Tabla1[[#This Row],[saldo_mora_30]]/Tabla1[[#This Row],[saldo_cartera]]</f>
        <v>0</v>
      </c>
      <c r="U314" t="str">
        <f>VLOOKUP(N314,asesores_ficticio!$A:$C,3,FALSE)</f>
        <v>Bello</v>
      </c>
      <c r="V314" t="str">
        <f t="shared" si="4"/>
        <v>NO</v>
      </c>
    </row>
    <row r="315" spans="1:22" x14ac:dyDescent="0.3">
      <c r="A315" t="s">
        <v>359</v>
      </c>
      <c r="B315" t="s">
        <v>15</v>
      </c>
      <c r="C315" t="s">
        <v>16</v>
      </c>
      <c r="D315" s="1">
        <v>4570607</v>
      </c>
      <c r="E315" s="1">
        <v>-74151881</v>
      </c>
      <c r="F315" s="2">
        <v>45864</v>
      </c>
      <c r="G315" t="s">
        <v>384</v>
      </c>
      <c r="H315">
        <v>2500000</v>
      </c>
      <c r="I315">
        <v>2202041</v>
      </c>
      <c r="J315">
        <v>0</v>
      </c>
      <c r="K315" t="s">
        <v>37</v>
      </c>
      <c r="L315">
        <v>900000</v>
      </c>
      <c r="M315" t="s">
        <v>23</v>
      </c>
      <c r="N315" t="s">
        <v>35</v>
      </c>
      <c r="O315" s="3" t="s">
        <v>370</v>
      </c>
      <c r="P315" s="3">
        <v>37</v>
      </c>
      <c r="Q315" t="s">
        <v>377</v>
      </c>
      <c r="R315" t="s">
        <v>376</v>
      </c>
      <c r="S315">
        <f>IF(Tabla1[[#This Row],[dias_mora]]&gt;30,Tabla1[[#This Row],[saldo_cartera]],0)</f>
        <v>0</v>
      </c>
      <c r="T315">
        <f>Tabla1[[#This Row],[saldo_mora_30]]/Tabla1[[#This Row],[saldo_cartera]]</f>
        <v>0</v>
      </c>
      <c r="U315" t="str">
        <f>VLOOKUP(N315,asesores_ficticio!$A:$C,3,FALSE)</f>
        <v>Bucaramanga</v>
      </c>
      <c r="V315" t="str">
        <f t="shared" si="4"/>
        <v>NO</v>
      </c>
    </row>
    <row r="316" spans="1:22" x14ac:dyDescent="0.3">
      <c r="A316" t="s">
        <v>360</v>
      </c>
      <c r="B316" t="s">
        <v>381</v>
      </c>
      <c r="C316" t="s">
        <v>16</v>
      </c>
      <c r="D316" s="1">
        <v>4634953</v>
      </c>
      <c r="E316" s="1">
        <v>-74069401</v>
      </c>
      <c r="F316" s="2">
        <v>46032</v>
      </c>
      <c r="G316" t="s">
        <v>385</v>
      </c>
      <c r="H316">
        <v>6000000</v>
      </c>
      <c r="I316">
        <v>2512286</v>
      </c>
      <c r="J316">
        <v>30</v>
      </c>
      <c r="K316" t="s">
        <v>27</v>
      </c>
      <c r="L316">
        <v>2000000</v>
      </c>
      <c r="M316" t="s">
        <v>28</v>
      </c>
      <c r="N316" t="s">
        <v>19</v>
      </c>
      <c r="O316" s="3" t="s">
        <v>370</v>
      </c>
      <c r="P316" s="3">
        <v>24</v>
      </c>
      <c r="Q316" t="s">
        <v>374</v>
      </c>
      <c r="R316" t="s">
        <v>373</v>
      </c>
      <c r="S316">
        <f>IF(Tabla1[[#This Row],[dias_mora]]&gt;30,Tabla1[[#This Row],[saldo_cartera]],0)</f>
        <v>0</v>
      </c>
      <c r="T316">
        <f>Tabla1[[#This Row],[saldo_mora_30]]/Tabla1[[#This Row],[saldo_cartera]]</f>
        <v>0</v>
      </c>
      <c r="U316" t="str">
        <f>VLOOKUP(N316,asesores_ficticio!$A:$C,3,FALSE)</f>
        <v>Bello</v>
      </c>
      <c r="V316" t="str">
        <f t="shared" si="4"/>
        <v>NO</v>
      </c>
    </row>
    <row r="317" spans="1:22" x14ac:dyDescent="0.3">
      <c r="A317" t="s">
        <v>361</v>
      </c>
      <c r="B317" t="s">
        <v>46</v>
      </c>
      <c r="C317" t="s">
        <v>21</v>
      </c>
      <c r="D317" s="1">
        <v>6284083</v>
      </c>
      <c r="E317" s="1">
        <v>-75484996</v>
      </c>
      <c r="F317" s="2">
        <v>45610</v>
      </c>
      <c r="G317" t="s">
        <v>384</v>
      </c>
      <c r="H317">
        <v>2500000</v>
      </c>
      <c r="I317">
        <v>1383062</v>
      </c>
      <c r="J317">
        <v>5</v>
      </c>
      <c r="K317" t="s">
        <v>22</v>
      </c>
      <c r="L317">
        <v>1300000</v>
      </c>
      <c r="M317" t="s">
        <v>28</v>
      </c>
      <c r="N317" t="s">
        <v>32</v>
      </c>
      <c r="O317" s="3" t="s">
        <v>371</v>
      </c>
      <c r="P317" s="3">
        <v>55</v>
      </c>
      <c r="Q317" t="s">
        <v>375</v>
      </c>
      <c r="R317" t="s">
        <v>376</v>
      </c>
      <c r="S317">
        <f>IF(Tabla1[[#This Row],[dias_mora]]&gt;30,Tabla1[[#This Row],[saldo_cartera]],0)</f>
        <v>0</v>
      </c>
      <c r="T317">
        <f>Tabla1[[#This Row],[saldo_mora_30]]/Tabla1[[#This Row],[saldo_cartera]]</f>
        <v>0</v>
      </c>
      <c r="U317" t="str">
        <f>VLOOKUP(N317,asesores_ficticio!$A:$C,3,FALSE)</f>
        <v>Cali</v>
      </c>
      <c r="V317" t="str">
        <f t="shared" si="4"/>
        <v>NO</v>
      </c>
    </row>
    <row r="318" spans="1:22" x14ac:dyDescent="0.3">
      <c r="A318" t="s">
        <v>362</v>
      </c>
      <c r="B318" t="s">
        <v>46</v>
      </c>
      <c r="C318" t="s">
        <v>21</v>
      </c>
      <c r="D318" s="1">
        <v>6376803</v>
      </c>
      <c r="E318" s="1">
        <v>-75613399</v>
      </c>
      <c r="F318" s="2">
        <v>45011</v>
      </c>
      <c r="G318" t="s">
        <v>382</v>
      </c>
      <c r="H318">
        <v>1800000</v>
      </c>
      <c r="I318">
        <v>1276808</v>
      </c>
      <c r="J318">
        <v>0</v>
      </c>
      <c r="K318" t="s">
        <v>17</v>
      </c>
      <c r="L318">
        <v>900000</v>
      </c>
      <c r="M318" t="s">
        <v>50</v>
      </c>
      <c r="N318" t="s">
        <v>57</v>
      </c>
      <c r="O318" s="3" t="s">
        <v>371</v>
      </c>
      <c r="P318" s="3">
        <v>32</v>
      </c>
      <c r="Q318" t="s">
        <v>377</v>
      </c>
      <c r="R318" t="s">
        <v>376</v>
      </c>
      <c r="S318">
        <f>IF(Tabla1[[#This Row],[dias_mora]]&gt;30,Tabla1[[#This Row],[saldo_cartera]],0)</f>
        <v>0</v>
      </c>
      <c r="T318">
        <f>Tabla1[[#This Row],[saldo_mora_30]]/Tabla1[[#This Row],[saldo_cartera]]</f>
        <v>0</v>
      </c>
      <c r="U318" t="str">
        <f>VLOOKUP(N318,asesores_ficticio!$A:$C,3,FALSE)</f>
        <v>Pereira</v>
      </c>
      <c r="V318" t="str">
        <f t="shared" si="4"/>
        <v>NO</v>
      </c>
    </row>
    <row r="319" spans="1:22" x14ac:dyDescent="0.3">
      <c r="A319" t="s">
        <v>363</v>
      </c>
      <c r="B319" t="s">
        <v>26</v>
      </c>
      <c r="C319" t="s">
        <v>21</v>
      </c>
      <c r="D319" s="1">
        <v>6220558</v>
      </c>
      <c r="E319" s="1">
        <v>-75389379</v>
      </c>
      <c r="F319" s="2">
        <v>46330</v>
      </c>
      <c r="G319" t="s">
        <v>384</v>
      </c>
      <c r="H319">
        <v>1800000</v>
      </c>
      <c r="I319">
        <v>1144232</v>
      </c>
      <c r="J319">
        <v>0</v>
      </c>
      <c r="K319" t="s">
        <v>17</v>
      </c>
      <c r="L319">
        <v>900000</v>
      </c>
      <c r="M319" t="s">
        <v>50</v>
      </c>
      <c r="N319" t="s">
        <v>57</v>
      </c>
      <c r="O319" s="3" t="s">
        <v>370</v>
      </c>
      <c r="P319" s="3">
        <v>48</v>
      </c>
      <c r="Q319" t="s">
        <v>377</v>
      </c>
      <c r="R319" t="s">
        <v>376</v>
      </c>
      <c r="S319">
        <f>IF(Tabla1[[#This Row],[dias_mora]]&gt;30,Tabla1[[#This Row],[saldo_cartera]],0)</f>
        <v>0</v>
      </c>
      <c r="T319">
        <f>Tabla1[[#This Row],[saldo_mora_30]]/Tabla1[[#This Row],[saldo_cartera]]</f>
        <v>0</v>
      </c>
      <c r="U319" t="str">
        <f>VLOOKUP(N319,asesores_ficticio!$A:$C,3,FALSE)</f>
        <v>Pereira</v>
      </c>
      <c r="V319" t="str">
        <f t="shared" si="4"/>
        <v>NO</v>
      </c>
    </row>
    <row r="320" spans="1:22" x14ac:dyDescent="0.3">
      <c r="A320" t="s">
        <v>364</v>
      </c>
      <c r="B320" t="s">
        <v>379</v>
      </c>
      <c r="C320" t="s">
        <v>21</v>
      </c>
      <c r="D320" s="1">
        <v>6276341</v>
      </c>
      <c r="E320" s="1">
        <v>-75649586</v>
      </c>
      <c r="F320" s="2">
        <v>45071</v>
      </c>
      <c r="G320" t="s">
        <v>383</v>
      </c>
      <c r="H320">
        <v>2500000</v>
      </c>
      <c r="I320">
        <v>475538</v>
      </c>
      <c r="J320">
        <v>30</v>
      </c>
      <c r="K320" t="s">
        <v>37</v>
      </c>
      <c r="L320">
        <v>1600000</v>
      </c>
      <c r="M320" t="s">
        <v>31</v>
      </c>
      <c r="N320" t="s">
        <v>61</v>
      </c>
      <c r="O320" s="3" t="s">
        <v>370</v>
      </c>
      <c r="P320" s="3">
        <v>39</v>
      </c>
      <c r="Q320" t="s">
        <v>374</v>
      </c>
      <c r="R320" t="s">
        <v>373</v>
      </c>
      <c r="S320">
        <f>IF(Tabla1[[#This Row],[dias_mora]]&gt;30,Tabla1[[#This Row],[saldo_cartera]],0)</f>
        <v>0</v>
      </c>
      <c r="T320">
        <f>Tabla1[[#This Row],[saldo_mora_30]]/Tabla1[[#This Row],[saldo_cartera]]</f>
        <v>0</v>
      </c>
      <c r="U320" t="str">
        <f>VLOOKUP(N320,asesores_ficticio!$A:$C,3,FALSE)</f>
        <v>Medellín</v>
      </c>
      <c r="V320" t="str">
        <f t="shared" si="4"/>
        <v>SI</v>
      </c>
    </row>
    <row r="321" spans="1:22" x14ac:dyDescent="0.3">
      <c r="A321" t="s">
        <v>365</v>
      </c>
      <c r="B321" t="s">
        <v>34</v>
      </c>
      <c r="C321" t="s">
        <v>386</v>
      </c>
      <c r="D321" s="1">
        <v>10908912</v>
      </c>
      <c r="E321" s="1">
        <v>-74841221</v>
      </c>
      <c r="F321" s="2">
        <v>45966</v>
      </c>
      <c r="G321" t="s">
        <v>382</v>
      </c>
      <c r="H321">
        <v>4000000</v>
      </c>
      <c r="I321">
        <v>1729375</v>
      </c>
      <c r="J321">
        <v>30</v>
      </c>
      <c r="K321" t="s">
        <v>27</v>
      </c>
      <c r="L321">
        <v>2800000</v>
      </c>
      <c r="M321" t="s">
        <v>50</v>
      </c>
      <c r="N321" t="s">
        <v>35</v>
      </c>
      <c r="O321" s="3" t="s">
        <v>370</v>
      </c>
      <c r="P321" s="3">
        <v>48</v>
      </c>
      <c r="Q321" t="s">
        <v>374</v>
      </c>
      <c r="R321" t="s">
        <v>373</v>
      </c>
      <c r="S321">
        <f>IF(Tabla1[[#This Row],[dias_mora]]&gt;30,Tabla1[[#This Row],[saldo_cartera]],0)</f>
        <v>0</v>
      </c>
      <c r="T321">
        <f>Tabla1[[#This Row],[saldo_mora_30]]/Tabla1[[#This Row],[saldo_cartera]]</f>
        <v>0</v>
      </c>
      <c r="U321" t="str">
        <f>VLOOKUP(N321,asesores_ficticio!$A:$C,3,FALSE)</f>
        <v>Bucaramanga</v>
      </c>
      <c r="V321" t="str">
        <f t="shared" si="4"/>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645A-D72E-4B56-898F-98B9C81D12E8}">
  <sheetPr>
    <tabColor theme="7" tint="0.59999389629810485"/>
  </sheetPr>
  <dimension ref="A1:Q58"/>
  <sheetViews>
    <sheetView showGridLines="0" zoomScale="80" zoomScaleNormal="80" workbookViewId="0">
      <selection activeCell="E4" sqref="E4"/>
    </sheetView>
  </sheetViews>
  <sheetFormatPr baseColWidth="10" defaultRowHeight="14.4" x14ac:dyDescent="0.3"/>
  <cols>
    <col min="1" max="1" width="19.5546875" bestFit="1" customWidth="1"/>
    <col min="2" max="2" width="21.88671875" bestFit="1" customWidth="1"/>
    <col min="3" max="4" width="23.77734375" bestFit="1" customWidth="1"/>
    <col min="5" max="5" width="24.6640625" bestFit="1" customWidth="1"/>
  </cols>
  <sheetData>
    <row r="1" spans="1:17" x14ac:dyDescent="0.3">
      <c r="A1" s="32" t="s">
        <v>396</v>
      </c>
      <c r="B1" s="38" t="s">
        <v>397</v>
      </c>
      <c r="C1" s="37"/>
      <c r="D1" s="37"/>
      <c r="E1" s="31"/>
      <c r="F1" s="31"/>
      <c r="G1" s="31"/>
      <c r="H1" s="31"/>
      <c r="I1" s="31"/>
      <c r="J1" s="31"/>
      <c r="K1" s="31"/>
      <c r="L1" s="31"/>
      <c r="M1" s="31"/>
      <c r="N1" s="31"/>
      <c r="O1" s="31"/>
      <c r="P1" s="31"/>
      <c r="Q1" s="30"/>
    </row>
    <row r="2" spans="1:17" x14ac:dyDescent="0.3">
      <c r="A2" s="16"/>
      <c r="Q2" s="15"/>
    </row>
    <row r="3" spans="1:17" x14ac:dyDescent="0.3">
      <c r="A3" s="36" t="s">
        <v>388</v>
      </c>
      <c r="B3" s="6" t="s">
        <v>390</v>
      </c>
      <c r="C3" s="6" t="s">
        <v>391</v>
      </c>
      <c r="D3" s="6" t="s">
        <v>392</v>
      </c>
      <c r="E3" s="7" t="s">
        <v>394</v>
      </c>
      <c r="Q3" s="15"/>
    </row>
    <row r="4" spans="1:17" x14ac:dyDescent="0.3">
      <c r="A4" s="33" t="s">
        <v>70</v>
      </c>
      <c r="B4" s="8">
        <v>57750191</v>
      </c>
      <c r="C4" s="8">
        <v>13240914</v>
      </c>
      <c r="D4" s="9">
        <v>0.29038067045628219</v>
      </c>
      <c r="E4" s="35">
        <f t="shared" ref="E4:E14" si="0">C4/B4</f>
        <v>0.22927913779540574</v>
      </c>
      <c r="Q4" s="15"/>
    </row>
    <row r="5" spans="1:17" x14ac:dyDescent="0.3">
      <c r="A5" s="33" t="s">
        <v>46</v>
      </c>
      <c r="B5" s="8">
        <v>54404332</v>
      </c>
      <c r="C5" s="8">
        <v>6833546</v>
      </c>
      <c r="D5" s="9">
        <v>0.14986349651344655</v>
      </c>
      <c r="E5" s="34">
        <f t="shared" si="0"/>
        <v>0.12560665205851623</v>
      </c>
      <c r="Q5" s="15"/>
    </row>
    <row r="6" spans="1:17" x14ac:dyDescent="0.3">
      <c r="A6" s="33" t="s">
        <v>380</v>
      </c>
      <c r="B6" s="8">
        <v>34910306</v>
      </c>
      <c r="C6" s="8">
        <v>6378456</v>
      </c>
      <c r="D6" s="9">
        <v>0.13988311756695165</v>
      </c>
      <c r="E6" s="35">
        <f t="shared" si="0"/>
        <v>0.18270982786573112</v>
      </c>
      <c r="Q6" s="15"/>
    </row>
    <row r="7" spans="1:17" x14ac:dyDescent="0.3">
      <c r="A7" s="33" t="s">
        <v>381</v>
      </c>
      <c r="B7" s="8">
        <v>45723154</v>
      </c>
      <c r="C7" s="8">
        <v>4348951</v>
      </c>
      <c r="D7" s="9">
        <v>9.5374934627739369E-2</v>
      </c>
      <c r="E7" s="34">
        <f t="shared" si="0"/>
        <v>9.5114851438288794E-2</v>
      </c>
      <c r="Q7" s="15"/>
    </row>
    <row r="8" spans="1:17" x14ac:dyDescent="0.3">
      <c r="A8" s="33" t="s">
        <v>40</v>
      </c>
      <c r="B8" s="8">
        <v>46797287</v>
      </c>
      <c r="C8" s="8">
        <v>3697629</v>
      </c>
      <c r="D8" s="9">
        <v>8.1091077860530797E-2</v>
      </c>
      <c r="E8" s="34">
        <f t="shared" si="0"/>
        <v>7.9013747100339385E-2</v>
      </c>
      <c r="Q8" s="15"/>
    </row>
    <row r="9" spans="1:17" x14ac:dyDescent="0.3">
      <c r="A9" s="33" t="s">
        <v>15</v>
      </c>
      <c r="B9" s="8">
        <v>41401323</v>
      </c>
      <c r="C9" s="8">
        <v>2727658</v>
      </c>
      <c r="D9" s="9">
        <v>5.981906980254096E-2</v>
      </c>
      <c r="E9" s="60">
        <f t="shared" si="0"/>
        <v>6.5883353534378603E-2</v>
      </c>
      <c r="Q9" s="15"/>
    </row>
    <row r="10" spans="1:17" x14ac:dyDescent="0.3">
      <c r="A10" s="33" t="s">
        <v>379</v>
      </c>
      <c r="B10" s="8">
        <v>25978256</v>
      </c>
      <c r="C10" s="8">
        <v>2545962</v>
      </c>
      <c r="D10" s="9">
        <v>5.5834374614638929E-2</v>
      </c>
      <c r="E10" s="34">
        <f t="shared" si="0"/>
        <v>9.8003576529540712E-2</v>
      </c>
      <c r="Q10" s="15"/>
    </row>
    <row r="11" spans="1:17" x14ac:dyDescent="0.3">
      <c r="A11" s="33" t="s">
        <v>34</v>
      </c>
      <c r="B11" s="8">
        <v>34417841</v>
      </c>
      <c r="C11" s="8">
        <v>2105511</v>
      </c>
      <c r="D11" s="9">
        <v>4.6175037148725319E-2</v>
      </c>
      <c r="E11" s="34">
        <f t="shared" si="0"/>
        <v>6.1174987704777882E-2</v>
      </c>
      <c r="Q11" s="15"/>
    </row>
    <row r="12" spans="1:17" x14ac:dyDescent="0.3">
      <c r="A12" s="33" t="s">
        <v>26</v>
      </c>
      <c r="B12" s="8">
        <v>39735794</v>
      </c>
      <c r="C12" s="8">
        <v>1977941</v>
      </c>
      <c r="D12" s="9">
        <v>4.3377355498492726E-2</v>
      </c>
      <c r="E12" s="60">
        <f t="shared" si="0"/>
        <v>4.9777311609779336E-2</v>
      </c>
      <c r="Q12" s="15"/>
    </row>
    <row r="13" spans="1:17" x14ac:dyDescent="0.3">
      <c r="A13" s="33" t="s">
        <v>76</v>
      </c>
      <c r="B13" s="8">
        <v>31534234</v>
      </c>
      <c r="C13" s="8">
        <v>1741901</v>
      </c>
      <c r="D13" s="9">
        <v>3.820086591065152E-2</v>
      </c>
      <c r="E13" s="34">
        <f t="shared" si="0"/>
        <v>5.5238411689340544E-2</v>
      </c>
      <c r="Q13" s="15"/>
    </row>
    <row r="14" spans="1:17" x14ac:dyDescent="0.3">
      <c r="A14" s="33" t="s">
        <v>389</v>
      </c>
      <c r="B14" s="8">
        <v>412652718</v>
      </c>
      <c r="C14" s="8">
        <v>45598469</v>
      </c>
      <c r="D14" s="9">
        <v>1</v>
      </c>
      <c r="E14" s="59">
        <f t="shared" si="0"/>
        <v>0.11050083280924858</v>
      </c>
      <c r="Q14" s="15"/>
    </row>
    <row r="15" spans="1:17" x14ac:dyDescent="0.3">
      <c r="A15" s="16"/>
      <c r="Q15" s="15"/>
    </row>
    <row r="16" spans="1:17" x14ac:dyDescent="0.3">
      <c r="A16" s="16"/>
      <c r="Q16" s="15"/>
    </row>
    <row r="17" spans="1:17" x14ac:dyDescent="0.3">
      <c r="A17" s="16"/>
      <c r="Q17" s="15"/>
    </row>
    <row r="18" spans="1:17" x14ac:dyDescent="0.3">
      <c r="A18" s="16"/>
      <c r="Q18" s="15"/>
    </row>
    <row r="19" spans="1:17" x14ac:dyDescent="0.3">
      <c r="A19" s="16"/>
      <c r="Q19" s="15"/>
    </row>
    <row r="20" spans="1:17" x14ac:dyDescent="0.3">
      <c r="A20" s="16"/>
      <c r="Q20" s="15"/>
    </row>
    <row r="21" spans="1:17" x14ac:dyDescent="0.3">
      <c r="A21" s="16"/>
      <c r="Q21" s="15"/>
    </row>
    <row r="22" spans="1:17" x14ac:dyDescent="0.3">
      <c r="A22" s="16"/>
      <c r="Q22" s="15"/>
    </row>
    <row r="23" spans="1:17" x14ac:dyDescent="0.3">
      <c r="A23" s="16"/>
      <c r="Q23" s="15"/>
    </row>
    <row r="24" spans="1:17" x14ac:dyDescent="0.3">
      <c r="A24" s="16"/>
      <c r="Q24" s="15"/>
    </row>
    <row r="25" spans="1:17" x14ac:dyDescent="0.3">
      <c r="A25" s="16"/>
      <c r="Q25" s="15"/>
    </row>
    <row r="26" spans="1:17" x14ac:dyDescent="0.3">
      <c r="A26" s="16"/>
      <c r="Q26" s="15"/>
    </row>
    <row r="27" spans="1:17" x14ac:dyDescent="0.3">
      <c r="A27" s="14"/>
      <c r="B27" s="13"/>
      <c r="C27" s="13"/>
      <c r="D27" s="13"/>
      <c r="E27" s="13"/>
      <c r="F27" s="13"/>
      <c r="G27" s="13"/>
      <c r="H27" s="13"/>
      <c r="I27" s="13"/>
      <c r="J27" s="13"/>
      <c r="K27" s="13"/>
      <c r="L27" s="13"/>
      <c r="M27" s="13"/>
      <c r="N27" s="13"/>
      <c r="O27" s="13"/>
      <c r="P27" s="13"/>
      <c r="Q27" s="12"/>
    </row>
    <row r="32" spans="1:17" x14ac:dyDescent="0.3">
      <c r="A32" s="32"/>
      <c r="B32" s="31"/>
      <c r="C32" s="31"/>
      <c r="D32" s="31"/>
      <c r="E32" s="31"/>
      <c r="F32" s="31"/>
      <c r="G32" s="31"/>
      <c r="H32" s="30"/>
    </row>
    <row r="33" spans="1:8" x14ac:dyDescent="0.3">
      <c r="A33" s="16" t="s">
        <v>395</v>
      </c>
      <c r="B33" s="11" t="s">
        <v>418</v>
      </c>
      <c r="C33" s="5"/>
      <c r="D33" s="5"/>
      <c r="H33" s="15"/>
    </row>
    <row r="34" spans="1:8" x14ac:dyDescent="0.3">
      <c r="A34" s="16"/>
      <c r="H34" s="15"/>
    </row>
    <row r="35" spans="1:8" x14ac:dyDescent="0.3">
      <c r="A35" s="29" t="s">
        <v>388</v>
      </c>
      <c r="B35" s="28" t="s">
        <v>391</v>
      </c>
      <c r="C35" s="27" t="s">
        <v>392</v>
      </c>
      <c r="E35" s="10"/>
      <c r="H35" s="15"/>
    </row>
    <row r="36" spans="1:8" x14ac:dyDescent="0.3">
      <c r="A36" s="26" t="s">
        <v>29</v>
      </c>
      <c r="B36" s="25">
        <v>11436467</v>
      </c>
      <c r="C36" s="61">
        <v>0.25080813568543275</v>
      </c>
      <c r="E36" s="20"/>
      <c r="H36" s="15"/>
    </row>
    <row r="37" spans="1:8" x14ac:dyDescent="0.3">
      <c r="A37" s="24" t="s">
        <v>63</v>
      </c>
      <c r="B37" s="22">
        <v>10806007</v>
      </c>
      <c r="C37" s="62">
        <v>0.23698179427910179</v>
      </c>
      <c r="E37" s="20"/>
      <c r="H37" s="15"/>
    </row>
    <row r="38" spans="1:8" x14ac:dyDescent="0.3">
      <c r="A38" s="24" t="s">
        <v>38</v>
      </c>
      <c r="B38" s="22">
        <v>7913618</v>
      </c>
      <c r="C38" s="21">
        <v>0.17355008125382454</v>
      </c>
      <c r="E38" s="20"/>
      <c r="H38" s="15"/>
    </row>
    <row r="39" spans="1:8" x14ac:dyDescent="0.3">
      <c r="A39" s="24" t="s">
        <v>61</v>
      </c>
      <c r="B39" s="22">
        <v>5566259</v>
      </c>
      <c r="C39" s="21">
        <v>0.12207118181972294</v>
      </c>
      <c r="E39" s="20"/>
      <c r="H39" s="15"/>
    </row>
    <row r="40" spans="1:8" x14ac:dyDescent="0.3">
      <c r="A40" s="24" t="s">
        <v>35</v>
      </c>
      <c r="B40" s="22">
        <v>2744784</v>
      </c>
      <c r="C40" s="21">
        <v>6.0194652588006846E-2</v>
      </c>
      <c r="E40" s="20"/>
      <c r="H40" s="15"/>
    </row>
    <row r="41" spans="1:8" x14ac:dyDescent="0.3">
      <c r="A41" s="24" t="s">
        <v>19</v>
      </c>
      <c r="B41" s="22">
        <v>2320328</v>
      </c>
      <c r="C41" s="21">
        <v>5.0886094443214749E-2</v>
      </c>
      <c r="E41" s="20"/>
      <c r="H41" s="15"/>
    </row>
    <row r="42" spans="1:8" x14ac:dyDescent="0.3">
      <c r="A42" s="24" t="s">
        <v>24</v>
      </c>
      <c r="B42" s="22">
        <v>1630097</v>
      </c>
      <c r="C42" s="21">
        <v>3.5748941483101107E-2</v>
      </c>
      <c r="E42" s="20"/>
      <c r="H42" s="15"/>
    </row>
    <row r="43" spans="1:8" x14ac:dyDescent="0.3">
      <c r="A43" s="24" t="s">
        <v>57</v>
      </c>
      <c r="B43" s="22">
        <v>1573302</v>
      </c>
      <c r="C43" s="21">
        <v>3.4503395278468671E-2</v>
      </c>
      <c r="E43" s="20"/>
      <c r="H43" s="15"/>
    </row>
    <row r="44" spans="1:8" x14ac:dyDescent="0.3">
      <c r="A44" s="24" t="s">
        <v>32</v>
      </c>
      <c r="B44" s="22">
        <v>828791</v>
      </c>
      <c r="C44" s="63">
        <v>1.8175851474311562E-2</v>
      </c>
      <c r="E44" s="20"/>
      <c r="H44" s="15"/>
    </row>
    <row r="45" spans="1:8" x14ac:dyDescent="0.3">
      <c r="A45" s="23" t="s">
        <v>42</v>
      </c>
      <c r="B45" s="22">
        <v>778816</v>
      </c>
      <c r="C45" s="63">
        <v>1.7079871694815018E-2</v>
      </c>
      <c r="E45" s="20"/>
      <c r="H45" s="15"/>
    </row>
    <row r="46" spans="1:8" x14ac:dyDescent="0.3">
      <c r="A46" s="19" t="s">
        <v>389</v>
      </c>
      <c r="B46" s="18">
        <v>45598469</v>
      </c>
      <c r="C46" s="17">
        <v>1</v>
      </c>
      <c r="E46" s="6"/>
      <c r="H46" s="15"/>
    </row>
    <row r="47" spans="1:8" x14ac:dyDescent="0.3">
      <c r="A47" s="16"/>
      <c r="H47" s="15"/>
    </row>
    <row r="48" spans="1:8" x14ac:dyDescent="0.3">
      <c r="A48" s="16"/>
      <c r="H48" s="15"/>
    </row>
    <row r="49" spans="1:8" x14ac:dyDescent="0.3">
      <c r="A49" s="16"/>
      <c r="H49" s="15"/>
    </row>
    <row r="50" spans="1:8" x14ac:dyDescent="0.3">
      <c r="A50" s="16"/>
      <c r="H50" s="15"/>
    </row>
    <row r="51" spans="1:8" x14ac:dyDescent="0.3">
      <c r="A51" s="16"/>
      <c r="H51" s="15"/>
    </row>
    <row r="52" spans="1:8" x14ac:dyDescent="0.3">
      <c r="A52" s="16"/>
      <c r="H52" s="15"/>
    </row>
    <row r="53" spans="1:8" x14ac:dyDescent="0.3">
      <c r="A53" s="16"/>
      <c r="H53" s="15"/>
    </row>
    <row r="54" spans="1:8" x14ac:dyDescent="0.3">
      <c r="A54" s="16"/>
      <c r="H54" s="15"/>
    </row>
    <row r="55" spans="1:8" x14ac:dyDescent="0.3">
      <c r="A55" s="16"/>
      <c r="H55" s="15"/>
    </row>
    <row r="56" spans="1:8" x14ac:dyDescent="0.3">
      <c r="A56" s="16"/>
      <c r="H56" s="15"/>
    </row>
    <row r="57" spans="1:8" ht="25.8" x14ac:dyDescent="0.5">
      <c r="A57" s="67" t="s">
        <v>444</v>
      </c>
      <c r="H57" s="15"/>
    </row>
    <row r="58" spans="1:8" x14ac:dyDescent="0.3">
      <c r="A58" s="14"/>
      <c r="B58" s="13"/>
      <c r="C58" s="13"/>
      <c r="D58" s="13"/>
      <c r="E58" s="13"/>
      <c r="F58" s="13"/>
      <c r="G58" s="13"/>
      <c r="H58" s="12"/>
    </row>
  </sheetData>
  <pageMargins left="0.7" right="0.7" top="0.75" bottom="0.75" header="0.3" footer="0.3"/>
  <pageSetup paperSize="9" orientation="portrait" horizontalDpi="300" verticalDpi="30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AEE3-3A28-419F-BF8B-47CC038FC5B3}">
  <sheetPr>
    <tabColor theme="7" tint="0.59999389629810485"/>
  </sheetPr>
  <dimension ref="A1:M59"/>
  <sheetViews>
    <sheetView showGridLines="0" workbookViewId="0">
      <selection activeCell="E8" sqref="E8"/>
    </sheetView>
  </sheetViews>
  <sheetFormatPr baseColWidth="10" defaultRowHeight="14.4" x14ac:dyDescent="0.3"/>
  <cols>
    <col min="1" max="1" width="21.77734375" bestFit="1" customWidth="1"/>
    <col min="2" max="2" width="20.77734375" bestFit="1" customWidth="1"/>
    <col min="3" max="3" width="21.88671875" bestFit="1" customWidth="1"/>
    <col min="4" max="4" width="20.77734375" bestFit="1" customWidth="1"/>
    <col min="5" max="5" width="21.88671875" bestFit="1" customWidth="1"/>
    <col min="6" max="6" width="20.77734375" bestFit="1" customWidth="1"/>
    <col min="7" max="7" width="21.88671875" bestFit="1" customWidth="1"/>
    <col min="8" max="8" width="20.77734375" bestFit="1" customWidth="1"/>
    <col min="9" max="9" width="21.88671875" bestFit="1" customWidth="1"/>
    <col min="10" max="10" width="20.77734375" bestFit="1" customWidth="1"/>
    <col min="11" max="11" width="21.88671875" bestFit="1" customWidth="1"/>
    <col min="12" max="12" width="25.6640625" bestFit="1" customWidth="1"/>
    <col min="13" max="13" width="26.77734375" bestFit="1" customWidth="1"/>
  </cols>
  <sheetData>
    <row r="1" spans="1:13" x14ac:dyDescent="0.3">
      <c r="A1" s="39" t="s">
        <v>419</v>
      </c>
      <c r="B1" s="31"/>
      <c r="C1" s="31"/>
      <c r="D1" s="31"/>
      <c r="E1" s="31"/>
      <c r="F1" s="31"/>
      <c r="G1" s="31"/>
      <c r="H1" s="31"/>
      <c r="I1" s="31"/>
      <c r="J1" s="31"/>
      <c r="K1" s="31"/>
      <c r="L1" s="31"/>
      <c r="M1" s="30"/>
    </row>
    <row r="2" spans="1:13" x14ac:dyDescent="0.3">
      <c r="A2" s="16"/>
      <c r="M2" s="15"/>
    </row>
    <row r="3" spans="1:13" x14ac:dyDescent="0.3">
      <c r="A3" s="16" t="s">
        <v>390</v>
      </c>
      <c r="B3" t="s">
        <v>398</v>
      </c>
      <c r="M3" s="15"/>
    </row>
    <row r="4" spans="1:13" x14ac:dyDescent="0.3">
      <c r="A4" s="16" t="s">
        <v>388</v>
      </c>
      <c r="B4" t="s">
        <v>37</v>
      </c>
      <c r="C4" t="s">
        <v>17</v>
      </c>
      <c r="D4" t="s">
        <v>48</v>
      </c>
      <c r="E4" t="s">
        <v>27</v>
      </c>
      <c r="F4" t="s">
        <v>22</v>
      </c>
      <c r="G4" t="s">
        <v>389</v>
      </c>
      <c r="M4" s="15"/>
    </row>
    <row r="5" spans="1:13" x14ac:dyDescent="0.3">
      <c r="A5" s="40" t="s">
        <v>383</v>
      </c>
      <c r="B5" s="4">
        <v>20759418</v>
      </c>
      <c r="C5" s="4">
        <v>19013820</v>
      </c>
      <c r="D5" s="4">
        <v>23420482</v>
      </c>
      <c r="E5" s="4">
        <v>23566452</v>
      </c>
      <c r="F5" s="4">
        <v>23855643</v>
      </c>
      <c r="G5" s="4">
        <v>110615815</v>
      </c>
      <c r="M5" s="15"/>
    </row>
    <row r="6" spans="1:13" x14ac:dyDescent="0.3">
      <c r="A6" s="40" t="s">
        <v>382</v>
      </c>
      <c r="B6" s="4">
        <v>20617865</v>
      </c>
      <c r="C6" s="4">
        <v>25997527</v>
      </c>
      <c r="D6" s="4">
        <v>26595605</v>
      </c>
      <c r="E6" s="4">
        <v>15536576</v>
      </c>
      <c r="F6" s="4">
        <v>21166954</v>
      </c>
      <c r="G6" s="4">
        <v>109914527</v>
      </c>
      <c r="M6" s="15"/>
    </row>
    <row r="7" spans="1:13" x14ac:dyDescent="0.3">
      <c r="A7" s="40" t="s">
        <v>385</v>
      </c>
      <c r="B7" s="4">
        <v>17637042</v>
      </c>
      <c r="C7" s="4">
        <v>20699823</v>
      </c>
      <c r="D7" s="4">
        <v>15621491</v>
      </c>
      <c r="E7" s="4">
        <v>24609204</v>
      </c>
      <c r="F7" s="4">
        <v>26865619</v>
      </c>
      <c r="G7" s="4">
        <v>105433179</v>
      </c>
      <c r="M7" s="15"/>
    </row>
    <row r="8" spans="1:13" x14ac:dyDescent="0.3">
      <c r="A8" s="40" t="s">
        <v>384</v>
      </c>
      <c r="B8" s="4">
        <v>18993716</v>
      </c>
      <c r="C8" s="4">
        <v>12581916</v>
      </c>
      <c r="D8" s="4">
        <v>20162009</v>
      </c>
      <c r="E8" s="4">
        <v>20454972</v>
      </c>
      <c r="F8" s="4">
        <v>14496584</v>
      </c>
      <c r="G8" s="4">
        <v>86689197</v>
      </c>
      <c r="M8" s="15"/>
    </row>
    <row r="9" spans="1:13" x14ac:dyDescent="0.3">
      <c r="A9" s="40" t="s">
        <v>389</v>
      </c>
      <c r="B9" s="4">
        <v>78008041</v>
      </c>
      <c r="C9" s="4">
        <v>78293086</v>
      </c>
      <c r="D9" s="4">
        <v>85799587</v>
      </c>
      <c r="E9" s="4">
        <v>84167204</v>
      </c>
      <c r="F9" s="4">
        <v>86384800</v>
      </c>
      <c r="G9" s="4">
        <v>412652718</v>
      </c>
      <c r="M9" s="15"/>
    </row>
    <row r="10" spans="1:13" x14ac:dyDescent="0.3">
      <c r="A10" s="16"/>
      <c r="M10" s="15"/>
    </row>
    <row r="11" spans="1:13" x14ac:dyDescent="0.3">
      <c r="A11" s="16"/>
      <c r="M11" s="15"/>
    </row>
    <row r="12" spans="1:13" x14ac:dyDescent="0.3">
      <c r="A12" s="16"/>
      <c r="M12" s="15"/>
    </row>
    <row r="13" spans="1:13" x14ac:dyDescent="0.3">
      <c r="A13" s="16"/>
      <c r="M13" s="15"/>
    </row>
    <row r="14" spans="1:13" x14ac:dyDescent="0.3">
      <c r="A14" s="16"/>
      <c r="M14" s="15"/>
    </row>
    <row r="15" spans="1:13" x14ac:dyDescent="0.3">
      <c r="A15" s="16"/>
      <c r="M15" s="15"/>
    </row>
    <row r="16" spans="1:13" x14ac:dyDescent="0.3">
      <c r="A16" s="16"/>
      <c r="M16" s="15"/>
    </row>
    <row r="17" spans="1:13" x14ac:dyDescent="0.3">
      <c r="A17" s="16"/>
      <c r="M17" s="15"/>
    </row>
    <row r="18" spans="1:13" x14ac:dyDescent="0.3">
      <c r="A18" s="16"/>
      <c r="M18" s="15"/>
    </row>
    <row r="19" spans="1:13" x14ac:dyDescent="0.3">
      <c r="A19" s="16"/>
      <c r="M19" s="15"/>
    </row>
    <row r="20" spans="1:13" x14ac:dyDescent="0.3">
      <c r="A20" s="16"/>
      <c r="M20" s="15"/>
    </row>
    <row r="21" spans="1:13" x14ac:dyDescent="0.3">
      <c r="A21" s="16"/>
      <c r="M21" s="15"/>
    </row>
    <row r="22" spans="1:13" x14ac:dyDescent="0.3">
      <c r="A22" s="16" t="s">
        <v>388</v>
      </c>
      <c r="B22" t="s">
        <v>390</v>
      </c>
      <c r="C22" t="s">
        <v>391</v>
      </c>
      <c r="D22" s="41" t="s">
        <v>420</v>
      </c>
      <c r="M22" s="15"/>
    </row>
    <row r="23" spans="1:13" x14ac:dyDescent="0.3">
      <c r="A23" s="40" t="s">
        <v>384</v>
      </c>
      <c r="B23" s="4">
        <v>86689197</v>
      </c>
      <c r="C23" s="4">
        <v>19252748</v>
      </c>
      <c r="D23" s="64">
        <f>C23/B23</f>
        <v>0.22208935676264252</v>
      </c>
      <c r="M23" s="15"/>
    </row>
    <row r="24" spans="1:13" x14ac:dyDescent="0.3">
      <c r="A24" s="40" t="s">
        <v>383</v>
      </c>
      <c r="B24" s="4">
        <v>110615815</v>
      </c>
      <c r="C24" s="4">
        <v>13595297</v>
      </c>
      <c r="D24" s="20">
        <f t="shared" ref="D24:D27" si="0">C24/B24</f>
        <v>0.12290554474511624</v>
      </c>
      <c r="M24" s="15"/>
    </row>
    <row r="25" spans="1:13" x14ac:dyDescent="0.3">
      <c r="A25" s="40" t="s">
        <v>385</v>
      </c>
      <c r="B25" s="4">
        <v>105433179</v>
      </c>
      <c r="C25" s="4">
        <v>8475143</v>
      </c>
      <c r="D25" s="20">
        <f t="shared" si="0"/>
        <v>8.0384022187171264E-2</v>
      </c>
      <c r="M25" s="15"/>
    </row>
    <row r="26" spans="1:13" x14ac:dyDescent="0.3">
      <c r="A26" s="40" t="s">
        <v>382</v>
      </c>
      <c r="B26" s="4">
        <v>109914527</v>
      </c>
      <c r="C26" s="4">
        <v>4275281</v>
      </c>
      <c r="D26" s="65">
        <f t="shared" si="0"/>
        <v>3.8896414483956247E-2</v>
      </c>
      <c r="M26" s="15"/>
    </row>
    <row r="27" spans="1:13" x14ac:dyDescent="0.3">
      <c r="A27" s="40" t="s">
        <v>389</v>
      </c>
      <c r="B27" s="4">
        <v>412652718</v>
      </c>
      <c r="C27" s="4">
        <v>45598469</v>
      </c>
      <c r="D27" s="20">
        <f t="shared" si="0"/>
        <v>0.11050083280924858</v>
      </c>
      <c r="M27" s="15"/>
    </row>
    <row r="28" spans="1:13" x14ac:dyDescent="0.3">
      <c r="A28" s="16"/>
      <c r="M28" s="15"/>
    </row>
    <row r="29" spans="1:13" x14ac:dyDescent="0.3">
      <c r="A29" s="16"/>
      <c r="M29" s="15"/>
    </row>
    <row r="30" spans="1:13" x14ac:dyDescent="0.3">
      <c r="A30" s="16"/>
      <c r="M30" s="15"/>
    </row>
    <row r="31" spans="1:13" x14ac:dyDescent="0.3">
      <c r="A31" s="16"/>
      <c r="M31" s="15"/>
    </row>
    <row r="32" spans="1:13" x14ac:dyDescent="0.3">
      <c r="A32" s="16"/>
      <c r="M32" s="15"/>
    </row>
    <row r="33" spans="1:13" x14ac:dyDescent="0.3">
      <c r="A33" s="16"/>
      <c r="M33" s="15"/>
    </row>
    <row r="34" spans="1:13" x14ac:dyDescent="0.3">
      <c r="A34" s="16"/>
      <c r="M34" s="15"/>
    </row>
    <row r="35" spans="1:13" x14ac:dyDescent="0.3">
      <c r="A35" s="16"/>
      <c r="M35" s="15"/>
    </row>
    <row r="36" spans="1:13" x14ac:dyDescent="0.3">
      <c r="A36" s="16"/>
      <c r="M36" s="15"/>
    </row>
    <row r="37" spans="1:13" x14ac:dyDescent="0.3">
      <c r="A37" s="16"/>
      <c r="M37" s="15"/>
    </row>
    <row r="38" spans="1:13" x14ac:dyDescent="0.3">
      <c r="A38" s="16"/>
      <c r="M38" s="15"/>
    </row>
    <row r="39" spans="1:13" x14ac:dyDescent="0.3">
      <c r="A39" s="16"/>
      <c r="M39" s="15"/>
    </row>
    <row r="40" spans="1:13" x14ac:dyDescent="0.3">
      <c r="A40" s="16"/>
      <c r="M40" s="15"/>
    </row>
    <row r="41" spans="1:13" x14ac:dyDescent="0.3">
      <c r="A41" s="16"/>
      <c r="M41" s="15"/>
    </row>
    <row r="42" spans="1:13" x14ac:dyDescent="0.3">
      <c r="A42" s="16"/>
      <c r="M42" s="15"/>
    </row>
    <row r="43" spans="1:13" x14ac:dyDescent="0.3">
      <c r="A43" s="66" t="s">
        <v>445</v>
      </c>
      <c r="M43" s="15"/>
    </row>
    <row r="44" spans="1:13" x14ac:dyDescent="0.3">
      <c r="A44" s="14"/>
      <c r="B44" s="13"/>
      <c r="C44" s="13"/>
      <c r="D44" s="13"/>
      <c r="E44" s="13"/>
      <c r="F44" s="13"/>
      <c r="G44" s="13"/>
      <c r="H44" s="13"/>
      <c r="I44" s="13"/>
      <c r="J44" s="13"/>
      <c r="K44" s="13"/>
      <c r="L44" s="13"/>
      <c r="M44" s="12"/>
    </row>
    <row r="46" spans="1:13" x14ac:dyDescent="0.3">
      <c r="A46" s="32"/>
      <c r="B46" s="31"/>
      <c r="C46" s="31"/>
      <c r="D46" s="31"/>
      <c r="E46" s="31"/>
      <c r="F46" s="31"/>
      <c r="G46" s="31"/>
      <c r="H46" s="30"/>
    </row>
    <row r="47" spans="1:13" x14ac:dyDescent="0.3">
      <c r="A47" s="16" t="s">
        <v>421</v>
      </c>
      <c r="H47" s="15"/>
    </row>
    <row r="48" spans="1:13" x14ac:dyDescent="0.3">
      <c r="A48" s="16"/>
      <c r="H48" s="15"/>
    </row>
    <row r="49" spans="1:8" x14ac:dyDescent="0.3">
      <c r="A49" s="16"/>
      <c r="H49" s="15"/>
    </row>
    <row r="50" spans="1:8" x14ac:dyDescent="0.3">
      <c r="A50" s="16"/>
      <c r="H50" s="15"/>
    </row>
    <row r="51" spans="1:8" x14ac:dyDescent="0.3">
      <c r="A51" s="16"/>
      <c r="H51" s="15"/>
    </row>
    <row r="52" spans="1:8" x14ac:dyDescent="0.3">
      <c r="A52" s="16"/>
      <c r="H52" s="15"/>
    </row>
    <row r="53" spans="1:8" x14ac:dyDescent="0.3">
      <c r="A53" s="16"/>
      <c r="H53" s="15"/>
    </row>
    <row r="54" spans="1:8" x14ac:dyDescent="0.3">
      <c r="A54" s="16"/>
      <c r="H54" s="15"/>
    </row>
    <row r="55" spans="1:8" x14ac:dyDescent="0.3">
      <c r="A55" s="16"/>
      <c r="H55" s="15"/>
    </row>
    <row r="56" spans="1:8" x14ac:dyDescent="0.3">
      <c r="A56" s="16"/>
      <c r="H56" s="15"/>
    </row>
    <row r="57" spans="1:8" x14ac:dyDescent="0.3">
      <c r="A57" s="16"/>
      <c r="H57" s="15"/>
    </row>
    <row r="58" spans="1:8" x14ac:dyDescent="0.3">
      <c r="A58" s="16"/>
      <c r="H58" s="15"/>
    </row>
    <row r="59" spans="1:8" x14ac:dyDescent="0.3">
      <c r="A59" s="14"/>
      <c r="B59" s="13"/>
      <c r="C59" s="13"/>
      <c r="D59" s="13"/>
      <c r="E59" s="13"/>
      <c r="F59" s="13"/>
      <c r="G59" s="13"/>
      <c r="H59" s="12"/>
    </row>
  </sheetData>
  <conditionalFormatting pivot="1" sqref="B5:F8">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3C12-39CA-446D-9A5C-E25DB7772028}">
  <sheetPr>
    <tabColor theme="8" tint="-0.249977111117893"/>
  </sheetPr>
  <dimension ref="A1:F22"/>
  <sheetViews>
    <sheetView showGridLines="0" topLeftCell="A7" workbookViewId="0">
      <selection activeCell="C25" sqref="C25"/>
    </sheetView>
  </sheetViews>
  <sheetFormatPr baseColWidth="10" defaultRowHeight="14.4" x14ac:dyDescent="0.3"/>
  <cols>
    <col min="1" max="1" width="31.21875" customWidth="1"/>
    <col min="2" max="2" width="31.44140625" customWidth="1"/>
    <col min="3" max="3" width="28.6640625" customWidth="1"/>
    <col min="4" max="4" width="17.77734375" customWidth="1"/>
  </cols>
  <sheetData>
    <row r="1" spans="1:6" x14ac:dyDescent="0.3">
      <c r="A1" t="s">
        <v>422</v>
      </c>
    </row>
    <row r="2" spans="1:6" x14ac:dyDescent="0.3">
      <c r="A2" s="71" t="s">
        <v>423</v>
      </c>
      <c r="B2" s="71"/>
      <c r="C2" s="71"/>
      <c r="D2" s="71"/>
      <c r="E2" s="71"/>
      <c r="F2" s="71"/>
    </row>
    <row r="3" spans="1:6" x14ac:dyDescent="0.3">
      <c r="A3" s="71"/>
      <c r="B3" s="71"/>
      <c r="C3" s="71"/>
      <c r="D3" s="71"/>
      <c r="E3" s="71"/>
      <c r="F3" s="71"/>
    </row>
    <row r="4" spans="1:6" x14ac:dyDescent="0.3">
      <c r="A4" s="71"/>
      <c r="B4" s="71"/>
      <c r="C4" s="71"/>
      <c r="D4" s="71"/>
      <c r="E4" s="71"/>
      <c r="F4" s="71"/>
    </row>
    <row r="5" spans="1:6" x14ac:dyDescent="0.3">
      <c r="A5" s="71"/>
      <c r="B5" s="71"/>
      <c r="C5" s="71"/>
      <c r="D5" s="71"/>
      <c r="E5" s="71"/>
      <c r="F5" s="71"/>
    </row>
    <row r="6" spans="1:6" x14ac:dyDescent="0.3">
      <c r="A6" s="71"/>
      <c r="B6" s="71"/>
      <c r="C6" s="71"/>
      <c r="D6" s="71"/>
      <c r="E6" s="71"/>
      <c r="F6" s="71"/>
    </row>
    <row r="7" spans="1:6" x14ac:dyDescent="0.3">
      <c r="A7" s="71"/>
      <c r="B7" s="71"/>
      <c r="C7" s="71"/>
      <c r="D7" s="71"/>
      <c r="E7" s="71"/>
      <c r="F7" s="71"/>
    </row>
    <row r="8" spans="1:6" x14ac:dyDescent="0.3">
      <c r="A8" s="71"/>
      <c r="B8" s="71"/>
      <c r="C8" s="71"/>
      <c r="D8" s="71"/>
      <c r="E8" s="71"/>
      <c r="F8" s="71"/>
    </row>
    <row r="9" spans="1:6" x14ac:dyDescent="0.3">
      <c r="A9" s="71"/>
      <c r="B9" s="71"/>
      <c r="C9" s="71"/>
      <c r="D9" s="71"/>
      <c r="E9" s="71"/>
      <c r="F9" s="71"/>
    </row>
    <row r="10" spans="1:6" x14ac:dyDescent="0.3">
      <c r="A10" s="71"/>
      <c r="B10" s="71"/>
      <c r="C10" s="71"/>
      <c r="D10" s="71"/>
      <c r="E10" s="71"/>
      <c r="F10" s="71"/>
    </row>
    <row r="12" spans="1:6" ht="21" x14ac:dyDescent="0.4">
      <c r="A12" s="72" t="s">
        <v>424</v>
      </c>
      <c r="B12" s="72"/>
      <c r="C12" s="72"/>
      <c r="D12" s="72"/>
      <c r="E12" s="72"/>
    </row>
    <row r="16" spans="1:6" x14ac:dyDescent="0.3">
      <c r="A16" t="s">
        <v>425</v>
      </c>
    </row>
    <row r="17" spans="1:4" x14ac:dyDescent="0.3">
      <c r="A17" s="42" t="s">
        <v>426</v>
      </c>
      <c r="B17" s="42" t="s">
        <v>447</v>
      </c>
      <c r="C17" s="42" t="s">
        <v>427</v>
      </c>
      <c r="D17" s="42" t="s">
        <v>428</v>
      </c>
    </row>
    <row r="18" spans="1:4" x14ac:dyDescent="0.3">
      <c r="A18" t="s">
        <v>429</v>
      </c>
      <c r="B18" s="43">
        <v>0.2293</v>
      </c>
      <c r="C18" s="44">
        <v>1000000000</v>
      </c>
      <c r="D18">
        <f>C18*B21</f>
        <v>229300000</v>
      </c>
    </row>
    <row r="19" spans="1:4" x14ac:dyDescent="0.3">
      <c r="A19" t="s">
        <v>430</v>
      </c>
      <c r="B19" s="43">
        <v>0.1933</v>
      </c>
      <c r="C19" s="44">
        <v>1000000000</v>
      </c>
    </row>
    <row r="20" spans="1:4" x14ac:dyDescent="0.3">
      <c r="A20" t="s">
        <v>431</v>
      </c>
      <c r="B20" s="45">
        <v>0</v>
      </c>
      <c r="C20" s="44">
        <v>1000000000</v>
      </c>
    </row>
    <row r="21" spans="1:4" x14ac:dyDescent="0.3">
      <c r="B21">
        <v>0.2293</v>
      </c>
    </row>
    <row r="22" spans="1:4" x14ac:dyDescent="0.3">
      <c r="B22">
        <v>0.1933</v>
      </c>
    </row>
  </sheetData>
  <scenarios current="0" sqref="D18">
    <scenario name="pesimista" locked="1" count="1" user="Andres Cerquera" comment="Creado por Andres Cerquera el 05/09/2026">
      <inputCells r="B21" val="0.2293"/>
    </scenario>
    <scenario name="medio" locked="1" count="1" user="Andres Cerquera" comment="Creado por Andres Cerquera el 05/09/2026">
      <inputCells r="B21" val="0.1933"/>
    </scenario>
    <scenario name="optimista" locked="1" count="1" user="Andres Cerquera" comment="Creado por Andres Cerquera el 05/09/2026">
      <inputCells r="B21" val="0"/>
    </scenario>
  </scenarios>
  <mergeCells count="2">
    <mergeCell ref="A2:F10"/>
    <mergeCell ref="A12:E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E0ED-69D7-4727-8A82-FF88AF7F6B3B}">
  <sheetPr>
    <tabColor theme="8" tint="0.39997558519241921"/>
    <outlinePr summaryBelow="0"/>
  </sheetPr>
  <dimension ref="A1:K42"/>
  <sheetViews>
    <sheetView showGridLines="0" tabSelected="1" topLeftCell="A31" workbookViewId="0">
      <selection activeCell="I28" sqref="I28"/>
    </sheetView>
  </sheetViews>
  <sheetFormatPr baseColWidth="10" defaultRowHeight="14.4" outlineLevelRow="1" outlineLevelCol="1" x14ac:dyDescent="0.3"/>
  <cols>
    <col min="3" max="3" width="6.21875" bestFit="1" customWidth="1"/>
    <col min="4" max="6" width="16.44140625" bestFit="1" customWidth="1" outlineLevel="1"/>
    <col min="7" max="7" width="13.88671875" bestFit="1" customWidth="1" outlineLevel="1"/>
    <col min="8" max="8" width="45.88671875" customWidth="1"/>
    <col min="9" max="9" width="23.88671875" customWidth="1"/>
  </cols>
  <sheetData>
    <row r="1" spans="2:8" ht="15" thickBot="1" x14ac:dyDescent="0.35"/>
    <row r="2" spans="2:8" ht="15.6" x14ac:dyDescent="0.3">
      <c r="B2" s="46" t="s">
        <v>432</v>
      </c>
      <c r="C2" s="46"/>
      <c r="D2" s="47"/>
      <c r="E2" s="47"/>
      <c r="F2" s="47"/>
      <c r="G2" s="47"/>
    </row>
    <row r="3" spans="2:8" ht="15.6" collapsed="1" x14ac:dyDescent="0.3">
      <c r="B3" s="48"/>
      <c r="C3" s="48"/>
      <c r="D3" s="49" t="s">
        <v>433</v>
      </c>
      <c r="E3" s="49" t="s">
        <v>434</v>
      </c>
      <c r="F3" s="49" t="s">
        <v>430</v>
      </c>
      <c r="G3" s="49" t="s">
        <v>431</v>
      </c>
    </row>
    <row r="4" spans="2:8" ht="32.4" hidden="1" outlineLevel="1" x14ac:dyDescent="0.3">
      <c r="B4" s="50"/>
      <c r="C4" s="50"/>
      <c r="E4" s="51" t="s">
        <v>435</v>
      </c>
      <c r="F4" s="51" t="s">
        <v>435</v>
      </c>
      <c r="G4" s="51" t="s">
        <v>435</v>
      </c>
    </row>
    <row r="5" spans="2:8" x14ac:dyDescent="0.3">
      <c r="B5" s="52" t="s">
        <v>436</v>
      </c>
      <c r="C5" s="52"/>
      <c r="D5" s="53"/>
      <c r="E5" s="53"/>
      <c r="F5" s="53"/>
      <c r="G5" s="53"/>
    </row>
    <row r="6" spans="2:8" outlineLevel="1" x14ac:dyDescent="0.3">
      <c r="B6" s="50"/>
      <c r="C6" s="50" t="s">
        <v>437</v>
      </c>
      <c r="D6">
        <v>0.2293</v>
      </c>
      <c r="E6" s="54">
        <v>0.2293</v>
      </c>
      <c r="F6" s="54">
        <v>0.1933</v>
      </c>
      <c r="G6" s="54">
        <v>0</v>
      </c>
    </row>
    <row r="7" spans="2:8" x14ac:dyDescent="0.3">
      <c r="B7" s="52" t="s">
        <v>438</v>
      </c>
      <c r="C7" s="52"/>
      <c r="D7" s="53"/>
      <c r="E7" s="53"/>
      <c r="F7" s="53"/>
      <c r="G7" s="53"/>
    </row>
    <row r="8" spans="2:8" ht="15" outlineLevel="1" thickBot="1" x14ac:dyDescent="0.35">
      <c r="B8" s="55"/>
      <c r="C8" s="55" t="s">
        <v>439</v>
      </c>
      <c r="D8" s="56">
        <v>229300000</v>
      </c>
      <c r="E8" s="56">
        <v>229300000</v>
      </c>
      <c r="F8" s="56">
        <v>193300000</v>
      </c>
      <c r="G8" s="57">
        <v>0</v>
      </c>
      <c r="H8" s="68" t="s">
        <v>446</v>
      </c>
    </row>
    <row r="9" spans="2:8" x14ac:dyDescent="0.3">
      <c r="B9" t="s">
        <v>440</v>
      </c>
    </row>
    <row r="10" spans="2:8" x14ac:dyDescent="0.3">
      <c r="B10" t="s">
        <v>441</v>
      </c>
    </row>
    <row r="11" spans="2:8" x14ac:dyDescent="0.3">
      <c r="B11" t="s">
        <v>442</v>
      </c>
    </row>
    <row r="13" spans="2:8" ht="14.4" customHeight="1" x14ac:dyDescent="0.3">
      <c r="B13" s="69" t="s">
        <v>443</v>
      </c>
      <c r="C13" s="69"/>
      <c r="D13" s="69"/>
      <c r="E13" s="69"/>
      <c r="F13" s="69"/>
      <c r="G13" s="69"/>
    </row>
    <row r="14" spans="2:8" x14ac:dyDescent="0.3">
      <c r="B14" s="69"/>
      <c r="C14" s="69"/>
      <c r="D14" s="69"/>
      <c r="E14" s="69"/>
      <c r="F14" s="69"/>
      <c r="G14" s="69"/>
    </row>
    <row r="15" spans="2:8" x14ac:dyDescent="0.3">
      <c r="B15" s="69"/>
      <c r="C15" s="69"/>
      <c r="D15" s="69"/>
      <c r="E15" s="69"/>
      <c r="F15" s="69"/>
      <c r="G15" s="69"/>
    </row>
    <row r="16" spans="2:8" x14ac:dyDescent="0.3">
      <c r="B16" s="69"/>
      <c r="C16" s="69"/>
      <c r="D16" s="69"/>
      <c r="E16" s="69"/>
      <c r="F16" s="69"/>
      <c r="G16" s="69"/>
    </row>
    <row r="17" spans="1:11" x14ac:dyDescent="0.3">
      <c r="B17" s="69"/>
      <c r="C17" s="69"/>
      <c r="D17" s="69"/>
      <c r="E17" s="69"/>
      <c r="F17" s="69"/>
      <c r="G17" s="69"/>
    </row>
    <row r="18" spans="1:11" x14ac:dyDescent="0.3">
      <c r="B18" s="69"/>
      <c r="C18" s="69"/>
      <c r="D18" s="69"/>
      <c r="E18" s="69"/>
      <c r="F18" s="69"/>
      <c r="G18" s="69"/>
    </row>
    <row r="19" spans="1:11" x14ac:dyDescent="0.3">
      <c r="B19" s="69"/>
      <c r="C19" s="69"/>
      <c r="D19" s="69"/>
      <c r="E19" s="69"/>
      <c r="F19" s="69"/>
      <c r="G19" s="69"/>
    </row>
    <row r="20" spans="1:11" x14ac:dyDescent="0.3">
      <c r="B20" s="69"/>
      <c r="C20" s="69"/>
      <c r="D20" s="69"/>
      <c r="E20" s="69"/>
      <c r="F20" s="69"/>
      <c r="G20" s="69"/>
    </row>
    <row r="21" spans="1:11" x14ac:dyDescent="0.3">
      <c r="B21" s="69"/>
      <c r="C21" s="69"/>
      <c r="D21" s="69"/>
      <c r="E21" s="69"/>
      <c r="F21" s="69"/>
      <c r="G21" s="69"/>
    </row>
    <row r="22" spans="1:11" x14ac:dyDescent="0.3">
      <c r="B22" s="69"/>
      <c r="C22" s="69"/>
      <c r="D22" s="69"/>
      <c r="E22" s="69"/>
      <c r="F22" s="69"/>
      <c r="G22" s="69"/>
    </row>
    <row r="28" spans="1:11" x14ac:dyDescent="0.3">
      <c r="B28" s="58"/>
      <c r="C28" s="58"/>
      <c r="D28" s="58"/>
      <c r="E28" s="58"/>
      <c r="F28" s="58"/>
      <c r="G28" s="58"/>
      <c r="H28" s="58"/>
      <c r="I28" s="58"/>
      <c r="J28" s="58"/>
      <c r="K28" s="58"/>
    </row>
    <row r="29" spans="1:11" x14ac:dyDescent="0.3">
      <c r="B29" s="58"/>
      <c r="C29" s="58"/>
      <c r="D29" s="70"/>
      <c r="E29" s="70"/>
      <c r="F29" s="70"/>
      <c r="G29" s="70"/>
      <c r="H29" s="70"/>
      <c r="I29" s="70"/>
      <c r="J29" s="58"/>
      <c r="K29" s="58"/>
    </row>
    <row r="30" spans="1:11" x14ac:dyDescent="0.3">
      <c r="B30" s="58"/>
      <c r="C30" s="58"/>
      <c r="D30" s="70"/>
      <c r="E30" s="70"/>
      <c r="F30" s="70"/>
      <c r="G30" s="70"/>
      <c r="H30" s="70"/>
      <c r="I30" s="70"/>
      <c r="J30" s="58"/>
      <c r="K30" s="58"/>
    </row>
    <row r="31" spans="1:11" x14ac:dyDescent="0.3">
      <c r="A31" s="68"/>
      <c r="B31" s="58"/>
      <c r="C31" s="58"/>
      <c r="D31" s="70"/>
      <c r="E31" s="70"/>
      <c r="F31" s="70"/>
      <c r="G31" s="70"/>
      <c r="H31" s="70"/>
      <c r="I31" s="70"/>
      <c r="J31" s="58"/>
      <c r="K31" s="58"/>
    </row>
    <row r="32" spans="1:11" x14ac:dyDescent="0.3">
      <c r="A32" s="68"/>
      <c r="B32" s="58"/>
      <c r="C32" s="58"/>
      <c r="D32" s="70"/>
      <c r="E32" s="70"/>
      <c r="F32" s="70"/>
      <c r="G32" s="70"/>
      <c r="H32" s="70"/>
      <c r="I32" s="70"/>
      <c r="J32" s="58"/>
      <c r="K32" s="58"/>
    </row>
    <row r="33" spans="1:11" x14ac:dyDescent="0.3">
      <c r="A33" s="68"/>
      <c r="B33" s="58"/>
      <c r="C33" s="58"/>
      <c r="D33" s="70"/>
      <c r="E33" s="70"/>
      <c r="F33" s="70"/>
      <c r="G33" s="70"/>
      <c r="H33" s="70"/>
      <c r="I33" s="70"/>
      <c r="J33" s="58"/>
      <c r="K33" s="58"/>
    </row>
    <row r="34" spans="1:11" x14ac:dyDescent="0.3">
      <c r="A34" s="68"/>
      <c r="B34" s="58"/>
      <c r="C34" s="58"/>
      <c r="D34" s="70"/>
      <c r="E34" s="70"/>
      <c r="F34" s="70"/>
      <c r="G34" s="70"/>
      <c r="H34" s="70"/>
      <c r="I34" s="70"/>
      <c r="J34" s="58"/>
      <c r="K34" s="58"/>
    </row>
    <row r="35" spans="1:11" x14ac:dyDescent="0.3">
      <c r="A35" s="68"/>
      <c r="B35" s="58"/>
      <c r="C35" s="58"/>
      <c r="D35" s="70"/>
      <c r="E35" s="70"/>
      <c r="F35" s="70"/>
      <c r="G35" s="70"/>
      <c r="H35" s="70"/>
      <c r="I35" s="70"/>
      <c r="J35" s="58"/>
      <c r="K35" s="58"/>
    </row>
    <row r="36" spans="1:11" x14ac:dyDescent="0.3">
      <c r="A36" s="68"/>
      <c r="B36" s="58"/>
      <c r="C36" s="58"/>
      <c r="D36" s="70"/>
      <c r="E36" s="70"/>
      <c r="F36" s="70"/>
      <c r="G36" s="70"/>
      <c r="H36" s="70"/>
      <c r="I36" s="70"/>
      <c r="J36" s="58"/>
      <c r="K36" s="58"/>
    </row>
    <row r="37" spans="1:11" x14ac:dyDescent="0.3">
      <c r="A37" s="68"/>
      <c r="B37" s="58"/>
      <c r="C37" s="58"/>
      <c r="D37" s="70"/>
      <c r="E37" s="70"/>
      <c r="F37" s="70"/>
      <c r="G37" s="70"/>
      <c r="H37" s="70"/>
      <c r="I37" s="70"/>
      <c r="J37" s="58"/>
      <c r="K37" s="58"/>
    </row>
    <row r="38" spans="1:11" x14ac:dyDescent="0.3">
      <c r="A38" s="68"/>
      <c r="B38" s="58"/>
      <c r="C38" s="58"/>
      <c r="D38" s="70"/>
      <c r="E38" s="70"/>
      <c r="F38" s="70"/>
      <c r="G38" s="70"/>
      <c r="H38" s="70"/>
      <c r="I38" s="70"/>
      <c r="J38" s="58"/>
      <c r="K38" s="58"/>
    </row>
    <row r="39" spans="1:11" x14ac:dyDescent="0.3">
      <c r="B39" s="58"/>
      <c r="C39" s="58"/>
      <c r="D39" s="58"/>
      <c r="E39" s="58"/>
      <c r="F39" s="58"/>
      <c r="G39" s="58"/>
      <c r="H39" s="58"/>
      <c r="I39" s="58"/>
      <c r="J39" s="58"/>
      <c r="K39" s="58"/>
    </row>
    <row r="40" spans="1:11" x14ac:dyDescent="0.3">
      <c r="B40" s="58"/>
      <c r="C40" s="58"/>
      <c r="D40" s="58"/>
      <c r="E40" s="58"/>
      <c r="F40" s="58"/>
      <c r="G40" s="58"/>
      <c r="H40" s="58"/>
      <c r="I40" s="58"/>
      <c r="J40" s="58"/>
      <c r="K40" s="58"/>
    </row>
    <row r="41" spans="1:11" x14ac:dyDescent="0.3">
      <c r="B41" s="58"/>
      <c r="C41" s="58"/>
      <c r="D41" s="58"/>
      <c r="E41" s="58"/>
      <c r="F41" s="58"/>
      <c r="G41" s="58"/>
      <c r="H41" s="58"/>
      <c r="I41" s="58"/>
      <c r="J41" s="58"/>
      <c r="K41" s="58"/>
    </row>
    <row r="42" spans="1:11" x14ac:dyDescent="0.3">
      <c r="B42" s="58"/>
      <c r="C42" s="58"/>
      <c r="D42" s="58"/>
      <c r="E42" s="58"/>
      <c r="F42" s="58"/>
      <c r="G42" s="58"/>
      <c r="H42" s="58"/>
      <c r="I42" s="58"/>
      <c r="J42" s="58"/>
      <c r="K42" s="58"/>
    </row>
  </sheetData>
  <mergeCells count="2">
    <mergeCell ref="B13:G22"/>
    <mergeCell ref="D29:I3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91FBE7FE5BF5D43BDD5FC98D6DDBC5B" ma:contentTypeVersion="21" ma:contentTypeDescription="Crear nuevo documento." ma:contentTypeScope="" ma:versionID="b5819b5713ff194bea389849034727e3">
  <xsd:schema xmlns:xsd="http://www.w3.org/2001/XMLSchema" xmlns:xs="http://www.w3.org/2001/XMLSchema" xmlns:p="http://schemas.microsoft.com/office/2006/metadata/properties" xmlns:ns1="http://schemas.microsoft.com/sharepoint/v3" xmlns:ns2="05937b0d-b1d0-4990-beaa-b1bd88cd4fb5" xmlns:ns3="621e4f84-12bd-48bc-9e48-cfac0b1e9f20" targetNamespace="http://schemas.microsoft.com/office/2006/metadata/properties" ma:root="true" ma:fieldsID="51d342c967fdd23587b9fcf38fe3ca5b" ns1:_="" ns2:_="" ns3:_="">
    <xsd:import namespace="http://schemas.microsoft.com/sharepoint/v3"/>
    <xsd:import namespace="05937b0d-b1d0-4990-beaa-b1bd88cd4fb5"/>
    <xsd:import namespace="621e4f84-12bd-48bc-9e48-cfac0b1e9f2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iedades de la Directiva de cumplimiento unificado" ma:hidden="true" ma:internalName="_ip_UnifiedCompliancePolicyProperties">
      <xsd:simpleType>
        <xsd:restriction base="dms:Note"/>
      </xsd:simpleType>
    </xsd:element>
    <xsd:element name="_ip_UnifiedCompliancePolicyUIAction" ma:index="27"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937b0d-b1d0-4990-beaa-b1bd88cd4f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76b03b93-ec50-448d-a790-22d3c8662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1e4f84-12bd-48bc-9e48-cfac0b1e9f2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8b04d30-8de1-4187-aad3-41bd764441b7}" ma:internalName="TaxCatchAll" ma:showField="CatchAllData" ma:web="621e4f84-12bd-48bc-9e48-cfac0b1e9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937b0d-b1d0-4990-beaa-b1bd88cd4fb5">
      <Terms xmlns="http://schemas.microsoft.com/office/infopath/2007/PartnerControls"/>
    </lcf76f155ced4ddcb4097134ff3c332f>
    <_ip_UnifiedCompliancePolicyProperties xmlns="http://schemas.microsoft.com/sharepoint/v3" xsi:nil="true"/>
    <TaxCatchAll xmlns="621e4f84-12bd-48bc-9e48-cfac0b1e9f2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119970-5774-4184-8705-AD2270FAB4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937b0d-b1d0-4990-beaa-b1bd88cd4fb5"/>
    <ds:schemaRef ds:uri="621e4f84-12bd-48bc-9e48-cfac0b1e9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674DFC-1806-4585-A1E2-B8E8EC79E5C3}">
  <ds:schemaRefs>
    <ds:schemaRef ds:uri="05937b0d-b1d0-4990-beaa-b1bd88cd4fb5"/>
    <ds:schemaRef ds:uri="http://schemas.microsoft.com/sharepoint/v3"/>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http://schemas.microsoft.com/office/infopath/2007/PartnerControls"/>
    <ds:schemaRef ds:uri="621e4f84-12bd-48bc-9e48-cfac0b1e9f20"/>
    <ds:schemaRef ds:uri="http://purl.org/dc/dcmitype/"/>
  </ds:schemaRefs>
</ds:datastoreItem>
</file>

<file path=customXml/itemProps3.xml><?xml version="1.0" encoding="utf-8"?>
<ds:datastoreItem xmlns:ds="http://schemas.openxmlformats.org/officeDocument/2006/customXml" ds:itemID="{4F5E39B9-DA6D-44EB-B42B-114BE32D41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asesores_ficticio</vt:lpstr>
      <vt:lpstr>clientes_ficticio</vt:lpstr>
      <vt:lpstr>punto 1 y 2</vt:lpstr>
      <vt:lpstr>punto 3-PUNTO 4</vt:lpstr>
      <vt:lpstr>ANALISIS DE ESCENARIOS_CALI</vt:lpstr>
      <vt:lpstr>Resumen del escenario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Andrea Monsalve Arredondo</dc:creator>
  <cp:lastModifiedBy>Andres Cerquera</cp:lastModifiedBy>
  <dcterms:created xsi:type="dcterms:W3CDTF">2026-09-03T21:48:37Z</dcterms:created>
  <dcterms:modified xsi:type="dcterms:W3CDTF">2026-09-09T16:27:19Z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0x010100891FBE7FE5BF5D43BDD5FC98D6DDBC5B</vt:lpwstr>
  </property>
</Properties>
</file>